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y Resume\"/>
    </mc:Choice>
  </mc:AlternateContent>
  <xr:revisionPtr revIDLastSave="0" documentId="8_{7394ECC2-8A27-4AF7-95E6-5BE533DE83B0}" xr6:coauthVersionLast="33" xr6:coauthVersionMax="33" xr10:uidLastSave="{00000000-0000-0000-0000-000000000000}"/>
  <bookViews>
    <workbookView xWindow="0" yWindow="0" windowWidth="24000" windowHeight="8910" xr2:uid="{00000000-000D-0000-FFFF-FFFF00000000}"/>
  </bookViews>
  <sheets>
    <sheet name="Numbers" sheetId="1" r:id="rId1"/>
    <sheet name="30 Year IRR" sheetId="2" r:id="rId2"/>
    <sheet name="20 Year IRR" sheetId="3" r:id="rId3"/>
    <sheet name="15 Year IRR" sheetId="4" r:id="rId4"/>
    <sheet name="10 Year IRR" sheetId="5" r:id="rId5"/>
    <sheet name="5 Year IRR" sheetId="6" r:id="rId6"/>
    <sheet name="3 Year IRR" sheetId="8" r:id="rId7"/>
    <sheet name="IRR Printout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D8" i="8" l="1"/>
  <c r="D9" i="8" s="1"/>
  <c r="D10" i="6"/>
  <c r="D11" i="6" s="1"/>
  <c r="D15" i="5"/>
  <c r="D16" i="5" s="1"/>
  <c r="D20" i="4"/>
  <c r="D21" i="4" s="1"/>
  <c r="D23" i="4" s="1"/>
  <c r="D25" i="3"/>
  <c r="D26" i="3" s="1"/>
  <c r="D36" i="2"/>
  <c r="D37" i="2" s="1"/>
  <c r="E14" i="1"/>
  <c r="E23" i="1"/>
  <c r="G3" i="2" s="1"/>
  <c r="E15" i="1"/>
  <c r="E13" i="1"/>
  <c r="E8" i="1"/>
  <c r="E9" i="1"/>
  <c r="B18" i="1"/>
  <c r="E3" i="1"/>
  <c r="E5" i="1" s="1"/>
  <c r="B34" i="1"/>
  <c r="E22" i="1" l="1"/>
  <c r="E21" i="1"/>
  <c r="D10" i="8"/>
  <c r="D12" i="8" s="1"/>
  <c r="D13" i="6"/>
  <c r="D18" i="5"/>
  <c r="D28" i="3"/>
  <c r="D11" i="8"/>
  <c r="G3" i="3"/>
  <c r="E4" i="1"/>
  <c r="C5" i="5" s="1"/>
  <c r="E7" i="1"/>
  <c r="D4" i="2" s="1"/>
  <c r="G3" i="6"/>
  <c r="G3" i="8"/>
  <c r="G3" i="5"/>
  <c r="G3" i="4"/>
  <c r="D38" i="2"/>
  <c r="D40" i="2" s="1"/>
  <c r="D22" i="4"/>
  <c r="D24" i="4" s="1"/>
  <c r="D12" i="6"/>
  <c r="D14" i="6" s="1"/>
  <c r="D27" i="3"/>
  <c r="D29" i="3" s="1"/>
  <c r="D17" i="5"/>
  <c r="D19" i="5" s="1"/>
  <c r="D39" i="2"/>
  <c r="C25" i="2" l="1"/>
  <c r="C14" i="4"/>
  <c r="C14" i="2"/>
  <c r="B12" i="3"/>
  <c r="D4" i="5"/>
  <c r="B19" i="2"/>
  <c r="B27" i="2"/>
  <c r="B8" i="4"/>
  <c r="C15" i="2"/>
  <c r="C24" i="2"/>
  <c r="B26" i="2"/>
  <c r="B24" i="2"/>
  <c r="C9" i="3"/>
  <c r="C21" i="3"/>
  <c r="B19" i="3"/>
  <c r="C18" i="2"/>
  <c r="C27" i="2"/>
  <c r="C26" i="2"/>
  <c r="B31" i="2"/>
  <c r="B17" i="3"/>
  <c r="C12" i="5"/>
  <c r="E28" i="1"/>
  <c r="C29" i="2"/>
  <c r="B20" i="2"/>
  <c r="B28" i="2"/>
  <c r="C9" i="4"/>
  <c r="B6" i="3"/>
  <c r="E10" i="1"/>
  <c r="E16" i="1" s="1"/>
  <c r="E18" i="1" s="1"/>
  <c r="C32" i="2"/>
  <c r="B15" i="2"/>
  <c r="B29" i="2"/>
  <c r="B33" i="2"/>
  <c r="C30" i="2"/>
  <c r="B18" i="4"/>
  <c r="C18" i="4"/>
  <c r="C11" i="4"/>
  <c r="B4" i="6"/>
  <c r="B5" i="8"/>
  <c r="C10" i="2"/>
  <c r="C31" i="2"/>
  <c r="E6" i="1"/>
  <c r="C33" i="2"/>
  <c r="C28" i="2"/>
  <c r="B4" i="2"/>
  <c r="B30" i="2"/>
  <c r="B32" i="2"/>
  <c r="B25" i="2"/>
  <c r="C8" i="3"/>
  <c r="B11" i="5"/>
  <c r="B14" i="4"/>
  <c r="C5" i="8"/>
  <c r="B13" i="2"/>
  <c r="B22" i="2"/>
  <c r="B18" i="2"/>
  <c r="B7" i="4"/>
  <c r="C22" i="3"/>
  <c r="B9" i="3"/>
  <c r="C10" i="4"/>
  <c r="B12" i="5"/>
  <c r="B20" i="3"/>
  <c r="B4" i="5"/>
  <c r="B6" i="8"/>
  <c r="B17" i="4"/>
  <c r="C17" i="2"/>
  <c r="C16" i="2"/>
  <c r="C13" i="2"/>
  <c r="C12" i="2"/>
  <c r="C11" i="2"/>
  <c r="B9" i="2"/>
  <c r="B14" i="2"/>
  <c r="B6" i="2"/>
  <c r="C12" i="3"/>
  <c r="C11" i="3"/>
  <c r="C16" i="4"/>
  <c r="C16" i="3"/>
  <c r="C17" i="4"/>
  <c r="B11" i="3"/>
  <c r="B6" i="4"/>
  <c r="C11" i="5"/>
  <c r="C13" i="5"/>
  <c r="B8" i="6"/>
  <c r="C19" i="3"/>
  <c r="B23" i="3"/>
  <c r="B4" i="3"/>
  <c r="C4" i="8"/>
  <c r="C4" i="6"/>
  <c r="D5" i="6" s="1"/>
  <c r="B5" i="3"/>
  <c r="C8" i="2"/>
  <c r="B21" i="2"/>
  <c r="C20" i="3"/>
  <c r="C4" i="5"/>
  <c r="D5" i="5" s="1"/>
  <c r="C8" i="5"/>
  <c r="B11" i="4"/>
  <c r="C17" i="3"/>
  <c r="B5" i="5"/>
  <c r="B7" i="5"/>
  <c r="B5" i="6"/>
  <c r="C6" i="8"/>
  <c r="B10" i="4"/>
  <c r="B9" i="5"/>
  <c r="C6" i="6"/>
  <c r="C13" i="4"/>
  <c r="C10" i="3"/>
  <c r="B22" i="3"/>
  <c r="C4" i="4"/>
  <c r="C8" i="4"/>
  <c r="C7" i="5"/>
  <c r="C5" i="6"/>
  <c r="C21" i="2"/>
  <c r="C13" i="3"/>
  <c r="B16" i="4"/>
  <c r="B15" i="4"/>
  <c r="C9" i="2"/>
  <c r="C6" i="2"/>
  <c r="C23" i="2"/>
  <c r="C7" i="2"/>
  <c r="B5" i="2"/>
  <c r="B16" i="2"/>
  <c r="B10" i="2"/>
  <c r="B11" i="2"/>
  <c r="B8" i="3"/>
  <c r="B7" i="3"/>
  <c r="C7" i="4"/>
  <c r="B10" i="3"/>
  <c r="B18" i="3"/>
  <c r="C9" i="5"/>
  <c r="C7" i="6"/>
  <c r="B4" i="4"/>
  <c r="C12" i="4"/>
  <c r="B13" i="5"/>
  <c r="C5" i="2"/>
  <c r="C20" i="2"/>
  <c r="C4" i="2"/>
  <c r="C19" i="2"/>
  <c r="C22" i="2"/>
  <c r="B17" i="2"/>
  <c r="B12" i="2"/>
  <c r="B8" i="2"/>
  <c r="B23" i="2"/>
  <c r="B7" i="2"/>
  <c r="C6" i="5"/>
  <c r="B14" i="3"/>
  <c r="C4" i="3"/>
  <c r="D5" i="3" s="1"/>
  <c r="C5" i="4"/>
  <c r="B16" i="3"/>
  <c r="B9" i="4"/>
  <c r="C7" i="3"/>
  <c r="C15" i="3"/>
  <c r="C23" i="3"/>
  <c r="B12" i="4"/>
  <c r="C10" i="5"/>
  <c r="C8" i="6"/>
  <c r="C18" i="3"/>
  <c r="B5" i="4"/>
  <c r="B13" i="4"/>
  <c r="B6" i="5"/>
  <c r="B4" i="8"/>
  <c r="B8" i="5"/>
  <c r="B6" i="6"/>
  <c r="B15" i="3"/>
  <c r="C15" i="4"/>
  <c r="B10" i="5"/>
  <c r="B7" i="6"/>
  <c r="C6" i="4"/>
  <c r="C5" i="3"/>
  <c r="B13" i="3"/>
  <c r="C14" i="3"/>
  <c r="D4" i="3"/>
  <c r="C6" i="3"/>
  <c r="B21" i="3"/>
  <c r="D4" i="6"/>
  <c r="D4" i="4"/>
  <c r="D4" i="8"/>
  <c r="E25" i="1" l="1"/>
  <c r="E4" i="8"/>
  <c r="E4" i="2"/>
  <c r="F4" i="8" s="1"/>
  <c r="G4" i="8" s="1"/>
  <c r="E4" i="4"/>
  <c r="E4" i="3"/>
  <c r="E17" i="1"/>
  <c r="E24" i="1" s="1"/>
  <c r="E27" i="1" s="1"/>
  <c r="D7" i="6"/>
  <c r="D7" i="2"/>
  <c r="E7" i="5" s="1"/>
  <c r="D13" i="8"/>
  <c r="D14" i="8" s="1"/>
  <c r="D9" i="2"/>
  <c r="E9" i="5" s="1"/>
  <c r="D9" i="5"/>
  <c r="D27" i="2"/>
  <c r="E27" i="2" s="1"/>
  <c r="F27" i="2" s="1"/>
  <c r="D6" i="6"/>
  <c r="D22" i="3"/>
  <c r="D15" i="6"/>
  <c r="D16" i="6" s="1"/>
  <c r="D13" i="5"/>
  <c r="D5" i="8"/>
  <c r="D6" i="8"/>
  <c r="D25" i="2"/>
  <c r="E25" i="2" s="1"/>
  <c r="F25" i="2" s="1"/>
  <c r="D18" i="3"/>
  <c r="D6" i="3"/>
  <c r="D13" i="2"/>
  <c r="E13" i="2" s="1"/>
  <c r="F13" i="3" s="1"/>
  <c r="D25" i="4"/>
  <c r="D26" i="4" s="1"/>
  <c r="D21" i="3"/>
  <c r="D14" i="3"/>
  <c r="D20" i="2"/>
  <c r="E20" i="2" s="1"/>
  <c r="F20" i="3" s="1"/>
  <c r="D17" i="3"/>
  <c r="D10" i="2"/>
  <c r="E10" i="2" s="1"/>
  <c r="F10" i="2" s="1"/>
  <c r="G10" i="2" s="1"/>
  <c r="D8" i="3"/>
  <c r="D8" i="6"/>
  <c r="D22" i="2"/>
  <c r="E22" i="2" s="1"/>
  <c r="F22" i="3" s="1"/>
  <c r="D19" i="3"/>
  <c r="D7" i="3"/>
  <c r="D24" i="2"/>
  <c r="E24" i="2" s="1"/>
  <c r="F24" i="2" s="1"/>
  <c r="D15" i="2"/>
  <c r="E15" i="2" s="1"/>
  <c r="F15" i="4" s="1"/>
  <c r="D29" i="2"/>
  <c r="E29" i="2" s="1"/>
  <c r="F29" i="2" s="1"/>
  <c r="D12" i="5"/>
  <c r="D20" i="3"/>
  <c r="D12" i="4"/>
  <c r="D11" i="5"/>
  <c r="D6" i="2"/>
  <c r="E6" i="2" s="1"/>
  <c r="F6" i="4" s="1"/>
  <c r="D19" i="2"/>
  <c r="E19" i="3" s="1"/>
  <c r="D12" i="2"/>
  <c r="E12" i="2" s="1"/>
  <c r="F12" i="3" s="1"/>
  <c r="D28" i="2"/>
  <c r="E28" i="2" s="1"/>
  <c r="F28" i="2" s="1"/>
  <c r="D26" i="2"/>
  <c r="E26" i="2" s="1"/>
  <c r="F26" i="2" s="1"/>
  <c r="D31" i="2"/>
  <c r="E31" i="2" s="1"/>
  <c r="F31" i="2" s="1"/>
  <c r="D17" i="2"/>
  <c r="E17" i="2" s="1"/>
  <c r="F17" i="2" s="1"/>
  <c r="G17" i="2" s="1"/>
  <c r="D33" i="2"/>
  <c r="E33" i="2" s="1"/>
  <c r="F33" i="2" s="1"/>
  <c r="D16" i="3"/>
  <c r="E4" i="6"/>
  <c r="E4" i="5"/>
  <c r="D15" i="4"/>
  <c r="D20" i="5"/>
  <c r="D21" i="5" s="1"/>
  <c r="D14" i="4"/>
  <c r="D9" i="4"/>
  <c r="D11" i="4"/>
  <c r="D17" i="4"/>
  <c r="D18" i="4"/>
  <c r="D8" i="4"/>
  <c r="D6" i="4"/>
  <c r="D5" i="4"/>
  <c r="D7" i="4"/>
  <c r="D11" i="2"/>
  <c r="E11" i="2" s="1"/>
  <c r="F11" i="4" s="1"/>
  <c r="D8" i="2"/>
  <c r="E8" i="2" s="1"/>
  <c r="F8" i="4" s="1"/>
  <c r="D18" i="2"/>
  <c r="E18" i="2" s="1"/>
  <c r="F18" i="3" s="1"/>
  <c r="D13" i="4"/>
  <c r="D16" i="4"/>
  <c r="D10" i="5"/>
  <c r="D14" i="2"/>
  <c r="E14" i="2" s="1"/>
  <c r="F14" i="2" s="1"/>
  <c r="G14" i="2" s="1"/>
  <c r="D23" i="2"/>
  <c r="E23" i="2" s="1"/>
  <c r="F23" i="3" s="1"/>
  <c r="D16" i="2"/>
  <c r="E16" i="2" s="1"/>
  <c r="F16" i="4" s="1"/>
  <c r="D32" i="2"/>
  <c r="E32" i="2" s="1"/>
  <c r="F32" i="2" s="1"/>
  <c r="D30" i="2"/>
  <c r="E30" i="2" s="1"/>
  <c r="F30" i="2" s="1"/>
  <c r="D5" i="2"/>
  <c r="E5" i="2" s="1"/>
  <c r="F5" i="6" s="1"/>
  <c r="D21" i="2"/>
  <c r="E21" i="2" s="1"/>
  <c r="F21" i="3" s="1"/>
  <c r="D41" i="2"/>
  <c r="D42" i="2" s="1"/>
  <c r="D11" i="3"/>
  <c r="D10" i="3"/>
  <c r="D7" i="5"/>
  <c r="D8" i="5"/>
  <c r="D9" i="3"/>
  <c r="D6" i="5"/>
  <c r="D10" i="4"/>
  <c r="D15" i="3"/>
  <c r="D12" i="3"/>
  <c r="D13" i="3"/>
  <c r="D30" i="3"/>
  <c r="D31" i="3" s="1"/>
  <c r="D23" i="3"/>
  <c r="F18" i="4"/>
  <c r="E9" i="3"/>
  <c r="E9" i="4"/>
  <c r="F13" i="2" l="1"/>
  <c r="G13" i="2" s="1"/>
  <c r="E9" i="2"/>
  <c r="F9" i="4" s="1"/>
  <c r="G9" i="4" s="1"/>
  <c r="E13" i="4"/>
  <c r="F4" i="6"/>
  <c r="G4" i="6" s="1"/>
  <c r="F4" i="2"/>
  <c r="G4" i="2" s="1"/>
  <c r="F4" i="3"/>
  <c r="G4" i="3" s="1"/>
  <c r="F4" i="4"/>
  <c r="G4" i="4" s="1"/>
  <c r="F4" i="5"/>
  <c r="G4" i="5" s="1"/>
  <c r="E7" i="4"/>
  <c r="E6" i="8"/>
  <c r="F6" i="5"/>
  <c r="E18" i="3"/>
  <c r="G18" i="3" s="1"/>
  <c r="F18" i="2"/>
  <c r="G18" i="2" s="1"/>
  <c r="F14" i="4"/>
  <c r="E14" i="4"/>
  <c r="E7" i="3"/>
  <c r="E11" i="3"/>
  <c r="E11" i="4"/>
  <c r="G11" i="4" s="1"/>
  <c r="E7" i="6"/>
  <c r="E10" i="4"/>
  <c r="F11" i="2"/>
  <c r="G11" i="2" s="1"/>
  <c r="E12" i="3"/>
  <c r="G12" i="3" s="1"/>
  <c r="E7" i="2"/>
  <c r="F7" i="5" s="1"/>
  <c r="G7" i="5" s="1"/>
  <c r="F10" i="3"/>
  <c r="F11" i="3"/>
  <c r="F8" i="6"/>
  <c r="F17" i="4"/>
  <c r="F12" i="5"/>
  <c r="F5" i="4"/>
  <c r="E17" i="4"/>
  <c r="E16" i="4"/>
  <c r="G16" i="4" s="1"/>
  <c r="E22" i="3"/>
  <c r="G22" i="3" s="1"/>
  <c r="F17" i="3"/>
  <c r="E15" i="3"/>
  <c r="E21" i="3"/>
  <c r="G21" i="3" s="1"/>
  <c r="G25" i="2"/>
  <c r="F16" i="2"/>
  <c r="G16" i="2" s="1"/>
  <c r="F15" i="2"/>
  <c r="G15" i="2" s="1"/>
  <c r="E15" i="4"/>
  <c r="G15" i="4" s="1"/>
  <c r="F12" i="4"/>
  <c r="F15" i="3"/>
  <c r="F11" i="5"/>
  <c r="E23" i="3"/>
  <c r="G23" i="3" s="1"/>
  <c r="E17" i="3"/>
  <c r="G27" i="2"/>
  <c r="F21" i="2"/>
  <c r="G21" i="2" s="1"/>
  <c r="E12" i="4"/>
  <c r="E11" i="5"/>
  <c r="G31" i="2"/>
  <c r="F12" i="2"/>
  <c r="G12" i="2" s="1"/>
  <c r="F22" i="2"/>
  <c r="G22" i="2" s="1"/>
  <c r="E12" i="5"/>
  <c r="G12" i="5" s="1"/>
  <c r="E16" i="3"/>
  <c r="F16" i="3"/>
  <c r="G33" i="2"/>
  <c r="E10" i="5"/>
  <c r="F10" i="5"/>
  <c r="E10" i="3"/>
  <c r="G32" i="2"/>
  <c r="E8" i="5"/>
  <c r="F10" i="4"/>
  <c r="G29" i="2"/>
  <c r="E8" i="3"/>
  <c r="F8" i="5"/>
  <c r="G24" i="2"/>
  <c r="F23" i="2"/>
  <c r="G23" i="2" s="1"/>
  <c r="F20" i="2"/>
  <c r="G20" i="2" s="1"/>
  <c r="E13" i="3"/>
  <c r="G13" i="3" s="1"/>
  <c r="E5" i="6"/>
  <c r="G5" i="6" s="1"/>
  <c r="E13" i="5"/>
  <c r="F13" i="4"/>
  <c r="G13" i="4" s="1"/>
  <c r="F5" i="5"/>
  <c r="F5" i="2"/>
  <c r="G5" i="2" s="1"/>
  <c r="E19" i="2"/>
  <c r="F19" i="3" s="1"/>
  <c r="G19" i="3" s="1"/>
  <c r="E20" i="3"/>
  <c r="G20" i="3" s="1"/>
  <c r="E5" i="5"/>
  <c r="G5" i="5" s="1"/>
  <c r="E5" i="8"/>
  <c r="E5" i="3"/>
  <c r="F13" i="5"/>
  <c r="F5" i="8"/>
  <c r="E5" i="4"/>
  <c r="F5" i="3"/>
  <c r="F6" i="2"/>
  <c r="G6" i="2" s="1"/>
  <c r="F14" i="3"/>
  <c r="E6" i="5"/>
  <c r="F6" i="3"/>
  <c r="F6" i="6"/>
  <c r="E6" i="4"/>
  <c r="G6" i="4" s="1"/>
  <c r="F8" i="3"/>
  <c r="E6" i="3"/>
  <c r="F6" i="8"/>
  <c r="G28" i="2"/>
  <c r="G30" i="2"/>
  <c r="G26" i="2"/>
  <c r="F8" i="2"/>
  <c r="G8" i="2" s="1"/>
  <c r="E6" i="6"/>
  <c r="E14" i="3"/>
  <c r="E8" i="4"/>
  <c r="G8" i="4" s="1"/>
  <c r="E18" i="4"/>
  <c r="G18" i="4" s="1"/>
  <c r="E8" i="6"/>
  <c r="F9" i="5"/>
  <c r="G9" i="5" s="1"/>
  <c r="G6" i="5" l="1"/>
  <c r="F9" i="2"/>
  <c r="G9" i="2" s="1"/>
  <c r="F9" i="3"/>
  <c r="G9" i="3" s="1"/>
  <c r="G6" i="3"/>
  <c r="F7" i="6"/>
  <c r="G7" i="6" s="1"/>
  <c r="G10" i="4"/>
  <c r="G8" i="6"/>
  <c r="G6" i="8"/>
  <c r="G12" i="4"/>
  <c r="G10" i="3"/>
  <c r="G10" i="5"/>
  <c r="G17" i="3"/>
  <c r="G14" i="4"/>
  <c r="G5" i="4"/>
  <c r="G5" i="8"/>
  <c r="G16" i="3"/>
  <c r="G11" i="5"/>
  <c r="G15" i="3"/>
  <c r="G17" i="4"/>
  <c r="F7" i="2"/>
  <c r="G7" i="2" s="1"/>
  <c r="F7" i="4"/>
  <c r="G7" i="4" s="1"/>
  <c r="F7" i="3"/>
  <c r="G7" i="3" s="1"/>
  <c r="G11" i="3"/>
  <c r="G6" i="6"/>
  <c r="G8" i="5"/>
  <c r="G13" i="5"/>
  <c r="G8" i="3"/>
  <c r="F19" i="2"/>
  <c r="G19" i="2" s="1"/>
  <c r="G5" i="3"/>
  <c r="G14" i="3"/>
  <c r="G8" i="8" l="1"/>
  <c r="G36" i="2"/>
  <c r="D18" i="6"/>
  <c r="B6" i="9" s="1"/>
  <c r="D16" i="8"/>
  <c r="B5" i="9" s="1"/>
  <c r="G10" i="6"/>
  <c r="D33" i="3"/>
  <c r="B9" i="9" s="1"/>
  <c r="G20" i="4"/>
  <c r="G15" i="5"/>
  <c r="D28" i="4"/>
  <c r="B8" i="9" s="1"/>
  <c r="G25" i="3"/>
  <c r="D23" i="5"/>
  <c r="B7" i="9" s="1"/>
  <c r="D44" i="2"/>
  <c r="B10" i="9" s="1"/>
</calcChain>
</file>

<file path=xl/sharedStrings.xml><?xml version="1.0" encoding="utf-8"?>
<sst xmlns="http://schemas.openxmlformats.org/spreadsheetml/2006/main" count="148" uniqueCount="68">
  <si>
    <t>Price</t>
  </si>
  <si>
    <t>Annual Interest Rate (nominal)</t>
  </si>
  <si>
    <t>Initial Monthly Rent</t>
  </si>
  <si>
    <t>Percent to be Financed</t>
  </si>
  <si>
    <t>Closing Costs above Down Payment</t>
  </si>
  <si>
    <t>Financing/Initial Costs</t>
  </si>
  <si>
    <t>Loan Term (Years)</t>
  </si>
  <si>
    <t>Improvements Before Renting</t>
  </si>
  <si>
    <t>Income/Expenses</t>
  </si>
  <si>
    <t>Insurance Rate (yearly)</t>
  </si>
  <si>
    <t>Property Tax Rate (yearly)</t>
  </si>
  <si>
    <t>Other Rates</t>
  </si>
  <si>
    <t>Percentage of Property Depreciable</t>
  </si>
  <si>
    <t>Monthly Costs when Unoccupied</t>
  </si>
  <si>
    <t>Vacancy Rate</t>
  </si>
  <si>
    <t>Capital Gains Rate</t>
  </si>
  <si>
    <t>Yearly Depreciation Rate</t>
  </si>
  <si>
    <t>Depreciation Recapture Rate</t>
  </si>
  <si>
    <t>Tax Rate (Federal + State)</t>
  </si>
  <si>
    <t>Months Until Rented</t>
  </si>
  <si>
    <t>Sale Costs/Percentages</t>
  </si>
  <si>
    <t>Real Estate Commissions</t>
  </si>
  <si>
    <t>Annual PMI Rate</t>
  </si>
  <si>
    <t>Key Numbers</t>
  </si>
  <si>
    <t>Monthly P+I</t>
  </si>
  <si>
    <t>Loan Amount</t>
  </si>
  <si>
    <t>Monthly PMI</t>
  </si>
  <si>
    <t>Additional Sale Costs</t>
  </si>
  <si>
    <t>Annual % Rent/Expense Increase</t>
  </si>
  <si>
    <t>Annual Real Estate Appr Rate</t>
  </si>
  <si>
    <t>Init Mthly Maintenance (Occupied)</t>
  </si>
  <si>
    <t>% of Princ Paid for PMI Expiration</t>
  </si>
  <si>
    <t>Init Monthly Int</t>
  </si>
  <si>
    <t>Init Monthly Princ</t>
  </si>
  <si>
    <t>Total Monthly Mtg Pmt</t>
  </si>
  <si>
    <t>Adjusted Basis</t>
  </si>
  <si>
    <t>Init Gross Yearly Income</t>
  </si>
  <si>
    <t>Init Taxable Yearly Income</t>
  </si>
  <si>
    <t>Init Pre-tax Income</t>
  </si>
  <si>
    <t>Init Monthly Insurance</t>
  </si>
  <si>
    <t>Init Monthly  Prop Tax</t>
  </si>
  <si>
    <t>Init Yearly Income Taxes</t>
  </si>
  <si>
    <t>Init Net Yearly Income</t>
  </si>
  <si>
    <t>Yearly Depreciation</t>
  </si>
  <si>
    <t>Init Months to Break Even</t>
  </si>
  <si>
    <t>Total Initial Investment</t>
  </si>
  <si>
    <t>Initial Yearly Cash ROI</t>
  </si>
  <si>
    <t>Initial Yearly Principal ROI</t>
  </si>
  <si>
    <t>Year</t>
  </si>
  <si>
    <t>Net Cash Flow</t>
  </si>
  <si>
    <t>Gross Income</t>
  </si>
  <si>
    <t>Income Taxes</t>
  </si>
  <si>
    <t>Principal Paid</t>
  </si>
  <si>
    <t>Sale Price:</t>
  </si>
  <si>
    <t>Interest Paid</t>
  </si>
  <si>
    <t>PMI Paid</t>
  </si>
  <si>
    <t>Depreciated Basis:</t>
  </si>
  <si>
    <t>Capital Gains:</t>
  </si>
  <si>
    <t>Principal Owed:</t>
  </si>
  <si>
    <t>Sale Profit:</t>
  </si>
  <si>
    <t>Depr Recapture:</t>
  </si>
  <si>
    <t>Adj Sale Price:</t>
  </si>
  <si>
    <t>LIFETIME IRR:</t>
  </si>
  <si>
    <t>Lifetime Cash:</t>
  </si>
  <si>
    <t>Years Until Sale</t>
  </si>
  <si>
    <t>Estimated IRR</t>
  </si>
  <si>
    <t>Cap Rate</t>
  </si>
  <si>
    <t>Lithmus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</si>
</sst>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10" fontId="2" fillId="2" borderId="0" xfId="0" applyNumberFormat="1" applyFont="1" applyFill="1"/>
    <xf numFmtId="10" fontId="0" fillId="3" borderId="0" xfId="0" applyNumberFormat="1" applyFill="1"/>
    <xf numFmtId="10" fontId="0" fillId="0" borderId="0" xfId="0" applyNumberFormat="1"/>
    <xf numFmtId="4" fontId="0" fillId="0" borderId="0" xfId="0" applyNumberFormat="1"/>
    <xf numFmtId="0" fontId="1" fillId="0" borderId="1" xfId="0" applyFont="1" applyBorder="1"/>
    <xf numFmtId="0" fontId="1" fillId="0" borderId="3" xfId="0" applyFont="1" applyBorder="1"/>
    <xf numFmtId="4" fontId="0" fillId="0" borderId="4" xfId="0" applyNumberFormat="1" applyBorder="1"/>
    <xf numFmtId="10" fontId="0" fillId="0" borderId="4" xfId="0" applyNumberFormat="1" applyBorder="1"/>
    <xf numFmtId="0" fontId="1" fillId="0" borderId="5" xfId="0" applyFont="1" applyBorder="1"/>
    <xf numFmtId="10" fontId="0" fillId="0" borderId="6" xfId="0" applyNumberFormat="1" applyBorder="1"/>
    <xf numFmtId="2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9" fontId="0" fillId="0" borderId="0" xfId="0" applyNumberFormat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B35" sqref="B35"/>
    </sheetView>
  </sheetViews>
  <sheetFormatPr defaultRowHeight="15" x14ac:dyDescent="0.25"/>
  <cols>
    <col min="1" max="1" width="32" customWidth="1"/>
    <col min="2" max="2" width="13.85546875" customWidth="1"/>
    <col min="3" max="3" width="3.7109375" customWidth="1"/>
    <col min="4" max="4" width="26.85546875" customWidth="1"/>
    <col min="5" max="5" width="12.42578125" style="9" customWidth="1"/>
  </cols>
  <sheetData>
    <row r="1" spans="1:7" ht="18" customHeight="1" x14ac:dyDescent="0.25">
      <c r="A1" s="1" t="s">
        <v>5</v>
      </c>
      <c r="D1" s="1" t="s">
        <v>23</v>
      </c>
    </row>
    <row r="2" spans="1:7" ht="18" customHeight="1" x14ac:dyDescent="0.25"/>
    <row r="3" spans="1:7" ht="18" customHeight="1" x14ac:dyDescent="0.25">
      <c r="A3" s="2" t="s">
        <v>0</v>
      </c>
      <c r="B3" s="4">
        <v>75000</v>
      </c>
      <c r="D3" t="s">
        <v>25</v>
      </c>
      <c r="E3" s="9">
        <f>B3*B6</f>
        <v>71250</v>
      </c>
    </row>
    <row r="4" spans="1:7" ht="18" customHeight="1" x14ac:dyDescent="0.25">
      <c r="A4" t="s">
        <v>1</v>
      </c>
      <c r="B4" s="6">
        <v>3.95E-2</v>
      </c>
      <c r="D4" t="s">
        <v>24</v>
      </c>
      <c r="E4" s="9">
        <f>E3*(B4/12)/(1-1/(1+B4/12)^(12*B5))</f>
        <v>338.10778057032468</v>
      </c>
    </row>
    <row r="5" spans="1:7" ht="18" customHeight="1" x14ac:dyDescent="0.25">
      <c r="A5" t="s">
        <v>6</v>
      </c>
      <c r="B5" s="4">
        <v>30</v>
      </c>
      <c r="D5" t="s">
        <v>32</v>
      </c>
      <c r="E5" s="9">
        <f>(B4/12)*E3</f>
        <v>234.53125</v>
      </c>
    </row>
    <row r="6" spans="1:7" ht="18" customHeight="1" x14ac:dyDescent="0.25">
      <c r="A6" t="s">
        <v>3</v>
      </c>
      <c r="B6" s="6">
        <v>0.95</v>
      </c>
      <c r="D6" t="s">
        <v>33</v>
      </c>
      <c r="E6" s="9">
        <f>E4-E5</f>
        <v>103.57653057032468</v>
      </c>
    </row>
    <row r="7" spans="1:7" ht="18" customHeight="1" x14ac:dyDescent="0.25">
      <c r="A7" t="s">
        <v>4</v>
      </c>
      <c r="B7" s="4">
        <v>3000</v>
      </c>
      <c r="D7" t="s">
        <v>26</v>
      </c>
      <c r="E7" s="9">
        <f>(B9/12)*E3</f>
        <v>26.718749999999996</v>
      </c>
    </row>
    <row r="8" spans="1:7" ht="18" customHeight="1" x14ac:dyDescent="0.25">
      <c r="A8" t="s">
        <v>7</v>
      </c>
      <c r="B8" s="4">
        <v>5000</v>
      </c>
      <c r="D8" t="s">
        <v>39</v>
      </c>
      <c r="E8" s="9">
        <f>B17*B3/12</f>
        <v>91.666666666666671</v>
      </c>
    </row>
    <row r="9" spans="1:7" ht="18" customHeight="1" x14ac:dyDescent="0.25">
      <c r="A9" t="s">
        <v>22</v>
      </c>
      <c r="B9" s="7">
        <v>4.4999999999999997E-3</v>
      </c>
      <c r="D9" t="s">
        <v>40</v>
      </c>
      <c r="E9" s="9">
        <f>B18*B3/12</f>
        <v>97</v>
      </c>
    </row>
    <row r="10" spans="1:7" ht="18" customHeight="1" x14ac:dyDescent="0.25">
      <c r="A10" t="s">
        <v>31</v>
      </c>
      <c r="B10" s="7">
        <v>0.2</v>
      </c>
      <c r="D10" t="s">
        <v>34</v>
      </c>
      <c r="E10" s="9">
        <f>E4+E7+E8+E9</f>
        <v>553.49319723699136</v>
      </c>
    </row>
    <row r="11" spans="1:7" ht="18" customHeight="1" x14ac:dyDescent="0.25">
      <c r="A11" t="s">
        <v>19</v>
      </c>
      <c r="B11" s="3">
        <v>2</v>
      </c>
    </row>
    <row r="12" spans="1:7" ht="18" customHeight="1" x14ac:dyDescent="0.25"/>
    <row r="13" spans="1:7" ht="18" customHeight="1" x14ac:dyDescent="0.25">
      <c r="A13" s="1" t="s">
        <v>8</v>
      </c>
      <c r="D13" t="s">
        <v>35</v>
      </c>
      <c r="E13" s="9">
        <f>B3+B7+B8</f>
        <v>83000</v>
      </c>
    </row>
    <row r="14" spans="1:7" ht="18" customHeight="1" x14ac:dyDescent="0.25">
      <c r="D14" t="s">
        <v>43</v>
      </c>
      <c r="E14" s="9">
        <f>B34*(B32*B3+B7+B8)</f>
        <v>2472.7272727272725</v>
      </c>
    </row>
    <row r="15" spans="1:7" ht="18" customHeight="1" x14ac:dyDescent="0.25">
      <c r="A15" t="s">
        <v>2</v>
      </c>
      <c r="B15" s="3">
        <v>1200</v>
      </c>
      <c r="D15" t="s">
        <v>36</v>
      </c>
      <c r="E15" s="9">
        <f>12*(1-B33)*B15</f>
        <v>12960</v>
      </c>
      <c r="G15" s="8"/>
    </row>
    <row r="16" spans="1:7" ht="18" customHeight="1" x14ac:dyDescent="0.25">
      <c r="A16" t="s">
        <v>30</v>
      </c>
      <c r="B16" s="3">
        <v>100</v>
      </c>
      <c r="D16" t="s">
        <v>37</v>
      </c>
      <c r="E16" s="9">
        <f>E15-12*(E10+(1-B33)*B16+B33*B19)+E4*(1/(1+B4/12)^(B5*12-12))*(1-1/(1+B4/12)^12)/(B4/12)-E14</f>
        <v>3947.0234637457174</v>
      </c>
    </row>
    <row r="17" spans="1:5" ht="18" customHeight="1" x14ac:dyDescent="0.25">
      <c r="A17" t="s">
        <v>9</v>
      </c>
      <c r="B17" s="7">
        <f>1100/75000</f>
        <v>1.4666666666666666E-2</v>
      </c>
      <c r="D17" t="s">
        <v>38</v>
      </c>
      <c r="E17" s="9">
        <f>E15-12*(E10+(1-B33)*B16+B33*B19)</f>
        <v>5154.0816331561036</v>
      </c>
    </row>
    <row r="18" spans="1:5" ht="18" customHeight="1" x14ac:dyDescent="0.25">
      <c r="A18" t="s">
        <v>10</v>
      </c>
      <c r="B18" s="7">
        <f>1164/75000</f>
        <v>1.5520000000000001E-2</v>
      </c>
      <c r="D18" t="s">
        <v>41</v>
      </c>
      <c r="E18" s="9">
        <f>E16*B35</f>
        <v>986.75586593642936</v>
      </c>
    </row>
    <row r="19" spans="1:5" ht="18" customHeight="1" x14ac:dyDescent="0.25">
      <c r="A19" t="s">
        <v>13</v>
      </c>
      <c r="B19" s="3">
        <v>70</v>
      </c>
    </row>
    <row r="20" spans="1:5" ht="18" customHeight="1" thickBot="1" x14ac:dyDescent="0.3"/>
    <row r="21" spans="1:5" ht="18" customHeight="1" x14ac:dyDescent="0.25">
      <c r="A21" s="1" t="s">
        <v>20</v>
      </c>
      <c r="D21" s="10" t="s">
        <v>66</v>
      </c>
      <c r="E21" s="20">
        <f>12*(B15*(1-B33)-(E8+E9+B16*(1-B33)+B19*B33))/B3</f>
        <v>0.12709333333333334</v>
      </c>
    </row>
    <row r="22" spans="1:5" ht="18" customHeight="1" x14ac:dyDescent="0.25">
      <c r="D22" s="11" t="s">
        <v>67</v>
      </c>
      <c r="E22" s="13">
        <f>12*(B15-(E8+E9))/B3</f>
        <v>0.16181333333333334</v>
      </c>
    </row>
    <row r="23" spans="1:5" ht="18" customHeight="1" x14ac:dyDescent="0.25">
      <c r="A23" t="s">
        <v>21</v>
      </c>
      <c r="B23" s="7">
        <v>0.06</v>
      </c>
      <c r="D23" s="11" t="s">
        <v>45</v>
      </c>
      <c r="E23" s="12">
        <f>(1-B6)*B3+B7+B8</f>
        <v>11750.000000000004</v>
      </c>
    </row>
    <row r="24" spans="1:5" ht="18" customHeight="1" x14ac:dyDescent="0.25">
      <c r="A24" t="s">
        <v>27</v>
      </c>
      <c r="B24" s="5">
        <v>3000</v>
      </c>
      <c r="D24" s="11" t="s">
        <v>42</v>
      </c>
      <c r="E24" s="12">
        <f>E17-E18</f>
        <v>4167.3257672196742</v>
      </c>
    </row>
    <row r="25" spans="1:5" ht="18" customHeight="1" x14ac:dyDescent="0.25">
      <c r="A25" t="s">
        <v>15</v>
      </c>
      <c r="B25" s="7">
        <v>0.15</v>
      </c>
      <c r="D25" s="11" t="s">
        <v>44</v>
      </c>
      <c r="E25" s="12">
        <f>(B35*(-12*E10-12*B19+E4*(1/(1+B4/12)^(B5*12-12))*(1-1/(1+B4/12)^12)/(B4/12)-E14)+12*E10+12*B19)/((B35-1)*(B16-B15-B19))</f>
        <v>6.0509108065872663</v>
      </c>
    </row>
    <row r="26" spans="1:5" ht="18" customHeight="1" x14ac:dyDescent="0.25">
      <c r="A26" t="s">
        <v>17</v>
      </c>
      <c r="B26" s="7">
        <v>0.25</v>
      </c>
      <c r="D26" s="11"/>
      <c r="E26" s="12"/>
    </row>
    <row r="27" spans="1:5" ht="18" customHeight="1" x14ac:dyDescent="0.25">
      <c r="D27" s="11" t="s">
        <v>46</v>
      </c>
      <c r="E27" s="13">
        <f>E24/E23</f>
        <v>0.3546660227420998</v>
      </c>
    </row>
    <row r="28" spans="1:5" ht="18" customHeight="1" thickBot="1" x14ac:dyDescent="0.3">
      <c r="A28" s="1" t="s">
        <v>11</v>
      </c>
      <c r="D28" s="14" t="s">
        <v>47</v>
      </c>
      <c r="E28" s="15">
        <f>E4*(1/(1+B4/12)^(B5*12-12))*(1-1/(1+B4/12)^12)/(B4/12)/E23</f>
        <v>0.10771651943122429</v>
      </c>
    </row>
    <row r="29" spans="1:5" ht="18" customHeight="1" x14ac:dyDescent="0.25"/>
    <row r="30" spans="1:5" ht="18" customHeight="1" x14ac:dyDescent="0.25">
      <c r="A30" t="s">
        <v>28</v>
      </c>
      <c r="B30" s="7">
        <v>0.02</v>
      </c>
    </row>
    <row r="31" spans="1:5" ht="18" customHeight="1" x14ac:dyDescent="0.25">
      <c r="A31" t="s">
        <v>29</v>
      </c>
      <c r="B31" s="7">
        <v>0.03</v>
      </c>
    </row>
    <row r="32" spans="1:5" ht="18" customHeight="1" x14ac:dyDescent="0.25">
      <c r="A32" t="s">
        <v>12</v>
      </c>
      <c r="B32" s="7">
        <v>0.8</v>
      </c>
    </row>
    <row r="33" spans="1:2" ht="18" customHeight="1" x14ac:dyDescent="0.25">
      <c r="A33" t="s">
        <v>14</v>
      </c>
      <c r="B33" s="6">
        <v>0.1</v>
      </c>
    </row>
    <row r="34" spans="1:2" ht="18" customHeight="1" x14ac:dyDescent="0.25">
      <c r="A34" t="s">
        <v>16</v>
      </c>
      <c r="B34" s="7">
        <f>1/27.5</f>
        <v>3.6363636363636362E-2</v>
      </c>
    </row>
    <row r="35" spans="1:2" ht="18" customHeight="1" x14ac:dyDescent="0.25">
      <c r="A35" t="s">
        <v>18</v>
      </c>
      <c r="B35" s="7">
        <v>0.25</v>
      </c>
    </row>
  </sheetData>
  <printOptions gridLines="1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>
      <selection activeCell="G36" sqref="G36"/>
    </sheetView>
  </sheetViews>
  <sheetFormatPr defaultRowHeight="15" x14ac:dyDescent="0.25"/>
  <cols>
    <col min="1" max="1" width="9.28515625" customWidth="1"/>
    <col min="2" max="4" width="16.7109375" customWidth="1"/>
    <col min="5" max="5" width="18.28515625" customWidth="1"/>
    <col min="6" max="7" width="16.7109375" customWidth="1"/>
    <col min="8" max="8" width="27.7109375" customWidth="1"/>
    <col min="9" max="9" width="27.42578125" customWidth="1"/>
  </cols>
  <sheetData>
    <row r="1" spans="1:9" x14ac:dyDescent="0.25">
      <c r="A1" s="1" t="s">
        <v>48</v>
      </c>
      <c r="B1" s="1" t="s">
        <v>54</v>
      </c>
      <c r="C1" s="1" t="s">
        <v>52</v>
      </c>
      <c r="D1" s="1" t="s">
        <v>55</v>
      </c>
      <c r="E1" s="1" t="s">
        <v>50</v>
      </c>
      <c r="F1" s="1" t="s">
        <v>51</v>
      </c>
      <c r="G1" s="1" t="s">
        <v>49</v>
      </c>
    </row>
    <row r="3" spans="1:9" x14ac:dyDescent="0.25">
      <c r="A3" s="17">
        <v>0</v>
      </c>
      <c r="B3" s="16"/>
      <c r="C3" s="16"/>
      <c r="D3" s="16"/>
      <c r="E3" s="16"/>
      <c r="F3" s="16"/>
      <c r="G3" s="16">
        <f>-Numbers!E23</f>
        <v>-11750.000000000004</v>
      </c>
      <c r="I3" s="16"/>
    </row>
    <row r="4" spans="1:9" x14ac:dyDescent="0.25">
      <c r="A4" s="17">
        <v>1</v>
      </c>
      <c r="B4" s="16">
        <f>IF(A4&lt;=Numbers!$B$5,Numbers!$E$4*(12*'30 Year IRR'!A4-1/(1+Numbers!$B$4/12)^(Numbers!$B$5*12-12*'30 Year IRR'!A4)*(1-1/(1+Numbers!$B$4/12)^(12*'30 Year IRR'!A4))/(Numbers!$B$4/12))-Numbers!$E$4*(12*'30 Year IRR'!A3-1/(1+Numbers!$B$4/12)^(Numbers!$B$5*12-12*'30 Year IRR'!A3)*(1-1/(1+Numbers!$B$4/12)^(12*'30 Year IRR'!A3))/(Numbers!$B$4/12)),0)</f>
        <v>2791.62426352701</v>
      </c>
      <c r="C4" s="16">
        <f>IF(A4&lt;=Numbers!$B$5,Numbers!$E$4*(1/(1+Numbers!$B$4/12))^(12*Numbers!$B$5-12*'30 Year IRR'!A4)*(1-1/(1+Numbers!$B$4/12)^(12*'30 Year IRR'!A4))/(Numbers!$B$4/12)-Numbers!$E$4*(1/(1+Numbers!$B$4/12))^(12*Numbers!$B$5-12*('30 Year IRR'!A4-1))*(1-1/(1+Numbers!$B$4/12)^(12*('30 Year IRR'!A4-1)))/(Numbers!$B$4/12),0)</f>
        <v>1265.6691033169284</v>
      </c>
      <c r="D4" s="16">
        <f>IF(SUM($C$3:C3)/Numbers!$E$3&lt;Numbers!$B$10,12*Numbers!$E$7,0)</f>
        <v>320.62499999999994</v>
      </c>
      <c r="E4" s="16">
        <f>12*Numbers!$B$15*(1-Numbers!$B$33)*(1+Numbers!$B$30)^('30 Year IRR'!A4-1)-('30 Year IRR'!B4+'30 Year IRR'!C4+'30 Year IRR'!D4+12*(Numbers!$E$8+Numbers!$E$9)*(1+Numbers!$B$30)^('30 Year IRR'!A4-1)+12*(1-Numbers!$B$33)*Numbers!$B$16*(1+Numbers!$B$30)^('30 Year IRR'!A4-1)+12*Numbers!$B$33*Numbers!$B$19*(1+Numbers!$B$30)^('30 Year IRR'!A4-1))-Numbers!B11*Numbers!B15</f>
        <v>2754.0816331560618</v>
      </c>
      <c r="F4" s="16">
        <f>Numbers!$B$35*('30 Year IRR'!E4+'30 Year IRR'!C4-IF(A4&lt;27.5,Numbers!$E$14,0))</f>
        <v>386.75586593642936</v>
      </c>
      <c r="G4" s="16">
        <f>E4-F4</f>
        <v>2367.3257672196323</v>
      </c>
      <c r="H4" s="16"/>
    </row>
    <row r="5" spans="1:9" x14ac:dyDescent="0.25">
      <c r="A5" s="17">
        <v>2</v>
      </c>
      <c r="B5" s="16">
        <f>IF(A5&lt;=Numbers!$B$5,Numbers!$E$4*(12*'30 Year IRR'!A5-1/(1+Numbers!$B$4/12)^(Numbers!$B$5*12-12*'30 Year IRR'!A5)*(1-1/(1+Numbers!$B$4/12)^(12*'30 Year IRR'!A5))/(Numbers!$B$4/12))-Numbers!$E$4*(12*'30 Year IRR'!A4-1/(1+Numbers!$B$4/12)^(Numbers!$B$5*12-12*'30 Year IRR'!A4)*(1-1/(1+Numbers!$B$4/12)^(12*'30 Year IRR'!A4))/(Numbers!$B$4/12)),0)</f>
        <v>2740.7152306315047</v>
      </c>
      <c r="C5" s="16">
        <f>IF(A5&lt;=Numbers!$B$5,Numbers!$E$4*(1/(1+Numbers!$B$4/12))^(12*Numbers!$B$5-12*'30 Year IRR'!A5)*(1-1/(1+Numbers!$B$4/12)^(12*'30 Year IRR'!A5))/(Numbers!$B$4/12)-Numbers!$E$4*(1/(1+Numbers!$B$4/12))^(12*Numbers!$B$5-12*('30 Year IRR'!A5-1))*(1-1/(1+Numbers!$B$4/12)^(12*('30 Year IRR'!A5-1)))/(Numbers!$B$4/12),0)</f>
        <v>1316.5781362124328</v>
      </c>
      <c r="D5" s="16">
        <f>IF(SUM($C$3:C4)/Numbers!$E$3&lt;Numbers!$B$10,12*Numbers!$E$7,0)</f>
        <v>320.62499999999994</v>
      </c>
      <c r="E5" s="16">
        <f>12*Numbers!$B$15*(1-Numbers!$B$33)*(1+Numbers!$B$30)^('30 Year IRR'!A5-1)-('30 Year IRR'!B5+'30 Year IRR'!C5+'30 Year IRR'!D5+12*(Numbers!$E$8+Numbers!$E$9)*(1+Numbers!$B$30)^('30 Year IRR'!A5-1)+12*(1-Numbers!$B$33)*Numbers!$B$16*(1+Numbers!$B$30)^('30 Year IRR'!A5-1)+12*Numbers!$B$33*Numbers!$B$19*(1+Numbers!$B$30)^('30 Year IRR'!A5-1))</f>
        <v>5344.721633156063</v>
      </c>
      <c r="F5" s="16">
        <f>Numbers!$B$35*('30 Year IRR'!E5+'30 Year IRR'!C5-IF(A5&lt;27.5,Numbers!$E$14,0))</f>
        <v>1047.1431241603059</v>
      </c>
      <c r="G5" s="16">
        <f t="shared" ref="G5:G32" si="0">E5-F5</f>
        <v>4297.5785089957571</v>
      </c>
      <c r="H5" s="16"/>
    </row>
    <row r="6" spans="1:9" x14ac:dyDescent="0.25">
      <c r="A6" s="17">
        <v>3</v>
      </c>
      <c r="B6" s="16">
        <f>IF(A6&lt;=Numbers!$B$5,Numbers!$E$4*(12*'30 Year IRR'!A6-1/(1+Numbers!$B$4/12)^(Numbers!$B$5*12-12*'30 Year IRR'!A6)*(1-1/(1+Numbers!$B$4/12)^(12*'30 Year IRR'!A6))/(Numbers!$B$4/12))-Numbers!$E$4*(12*'30 Year IRR'!A5-1/(1+Numbers!$B$4/12)^(Numbers!$B$5*12-12*'30 Year IRR'!A5)*(1-1/(1+Numbers!$B$4/12)^(12*'30 Year IRR'!A5))/(Numbers!$B$4/12)),0)</f>
        <v>2687.7584827182409</v>
      </c>
      <c r="C6" s="16">
        <f>IF(A6&lt;=Numbers!$B$5,Numbers!$E$4*(1/(1+Numbers!$B$4/12))^(12*Numbers!$B$5-12*'30 Year IRR'!A6)*(1-1/(1+Numbers!$B$4/12)^(12*'30 Year IRR'!A6))/(Numbers!$B$4/12)-Numbers!$E$4*(1/(1+Numbers!$B$4/12))^(12*Numbers!$B$5-12*('30 Year IRR'!A6-1))*(1-1/(1+Numbers!$B$4/12)^(12*('30 Year IRR'!A6-1)))/(Numbers!$B$4/12),0)</f>
        <v>1369.5348841256937</v>
      </c>
      <c r="D6" s="16">
        <f>IF(SUM($C$3:C5)/Numbers!$E$3&lt;Numbers!$B$10,12*Numbers!$E$7,0)</f>
        <v>320.62499999999994</v>
      </c>
      <c r="E6" s="16">
        <f>12*Numbers!$B$15*(1-Numbers!$B$33)*(1+Numbers!$B$30)^('30 Year IRR'!A6-1)-('30 Year IRR'!B6+'30 Year IRR'!C6+'30 Year IRR'!D6+12*(Numbers!$E$8+Numbers!$E$9)*(1+Numbers!$B$30)^('30 Year IRR'!A6-1)+12*(1-Numbers!$B$33)*Numbers!$B$16*(1+Numbers!$B$30)^('30 Year IRR'!A6-1)+12*Numbers!$B$33*Numbers!$B$19*(1+Numbers!$B$30)^('30 Year IRR'!A6-1))</f>
        <v>5539.1744331560667</v>
      </c>
      <c r="F6" s="16">
        <f>Numbers!$B$35*('30 Year IRR'!E6+'30 Year IRR'!C6-IF(A6&lt;27.5,Numbers!$E$14,0))</f>
        <v>1108.9955111386221</v>
      </c>
      <c r="G6" s="16">
        <f t="shared" si="0"/>
        <v>4430.1789220174451</v>
      </c>
    </row>
    <row r="7" spans="1:9" x14ac:dyDescent="0.25">
      <c r="A7" s="17">
        <v>4</v>
      </c>
      <c r="B7" s="16">
        <f>IF(A7&lt;=Numbers!$B$5,Numbers!$E$4*(12*'30 Year IRR'!A7-1/(1+Numbers!$B$4/12)^(Numbers!$B$5*12-12*'30 Year IRR'!A7)*(1-1/(1+Numbers!$B$4/12)^(12*'30 Year IRR'!A7))/(Numbers!$B$4/12))-Numbers!$E$4*(12*'30 Year IRR'!A6-1/(1+Numbers!$B$4/12)^(Numbers!$B$5*12-12*'30 Year IRR'!A6)*(1-1/(1+Numbers!$B$4/12)^(12*'30 Year IRR'!A6))/(Numbers!$B$4/12)),0)</f>
        <v>2632.6716545063646</v>
      </c>
      <c r="C7" s="16">
        <f>IF(A7&lt;=Numbers!$B$5,Numbers!$E$4*(1/(1+Numbers!$B$4/12))^(12*Numbers!$B$5-12*'30 Year IRR'!A7)*(1-1/(1+Numbers!$B$4/12)^(12*'30 Year IRR'!A7))/(Numbers!$B$4/12)-Numbers!$E$4*(1/(1+Numbers!$B$4/12))^(12*Numbers!$B$5-12*('30 Year IRR'!A7-1))*(1-1/(1+Numbers!$B$4/12)^(12*('30 Year IRR'!A7-1)))/(Numbers!$B$4/12),0)</f>
        <v>1424.6217123375714</v>
      </c>
      <c r="D7" s="16">
        <f>IF(SUM($C$3:C6)/Numbers!$E$3&lt;Numbers!$B$10,12*Numbers!$E$7,0)</f>
        <v>320.62499999999994</v>
      </c>
      <c r="E7" s="16">
        <f>12*Numbers!$B$15*(1-Numbers!$B$33)*(1+Numbers!$B$30)^('30 Year IRR'!A7-1)-('30 Year IRR'!B7+'30 Year IRR'!C7+'30 Year IRR'!D7+12*(Numbers!$E$8+Numbers!$E$9)*(1+Numbers!$B$30)^('30 Year IRR'!A7-1)+12*(1-Numbers!$B$33)*Numbers!$B$16*(1+Numbers!$B$30)^('30 Year IRR'!A7-1)+12*Numbers!$B$33*Numbers!$B$19*(1+Numbers!$B$30)^('30 Year IRR'!A7-1))</f>
        <v>5737.5162891560622</v>
      </c>
      <c r="F7" s="16">
        <f>Numbers!$B$35*('30 Year IRR'!E7+'30 Year IRR'!C7-IF(A7&lt;27.5,Numbers!$E$14,0))</f>
        <v>1172.3526821915902</v>
      </c>
      <c r="G7" s="16">
        <f t="shared" si="0"/>
        <v>4565.1636069644719</v>
      </c>
    </row>
    <row r="8" spans="1:9" x14ac:dyDescent="0.25">
      <c r="A8" s="17">
        <v>5</v>
      </c>
      <c r="B8" s="16">
        <f>IF(A8&lt;=Numbers!$B$5,Numbers!$E$4*(12*'30 Year IRR'!A8-1/(1+Numbers!$B$4/12)^(Numbers!$B$5*12-12*'30 Year IRR'!A8)*(1-1/(1+Numbers!$B$4/12)^(12*'30 Year IRR'!A8))/(Numbers!$B$4/12))-Numbers!$E$4*(12*'30 Year IRR'!A7-1/(1+Numbers!$B$4/12)^(Numbers!$B$5*12-12*'30 Year IRR'!A7)*(1-1/(1+Numbers!$B$4/12)^(12*'30 Year IRR'!A7))/(Numbers!$B$4/12)),0)</f>
        <v>2575.3690677346713</v>
      </c>
      <c r="C8" s="16">
        <f>IF(A8&lt;=Numbers!$B$5,Numbers!$E$4*(1/(1+Numbers!$B$4/12))^(12*Numbers!$B$5-12*'30 Year IRR'!A8)*(1-1/(1+Numbers!$B$4/12)^(12*'30 Year IRR'!A8))/(Numbers!$B$4/12)-Numbers!$E$4*(1/(1+Numbers!$B$4/12))^(12*Numbers!$B$5-12*('30 Year IRR'!A8-1))*(1-1/(1+Numbers!$B$4/12)^(12*('30 Year IRR'!A8-1)))/(Numbers!$B$4/12),0)</f>
        <v>1481.9242991092606</v>
      </c>
      <c r="D8" s="16">
        <f>IF(SUM($C$3:C7)/Numbers!$E$3&lt;Numbers!$B$10,12*Numbers!$E$7,0)</f>
        <v>320.62499999999994</v>
      </c>
      <c r="E8" s="16">
        <f>12*Numbers!$B$15*(1-Numbers!$B$33)*(1+Numbers!$B$30)^('30 Year IRR'!A8-1)-('30 Year IRR'!B8+'30 Year IRR'!C8+'30 Year IRR'!D8+12*(Numbers!$E$8+Numbers!$E$9)*(1+Numbers!$B$30)^('30 Year IRR'!A8-1)+12*(1-Numbers!$B$33)*Numbers!$B$16*(1+Numbers!$B$30)^('30 Year IRR'!A8-1)+12*Numbers!$B$33*Numbers!$B$19*(1+Numbers!$B$30)^('30 Year IRR'!A8-1))</f>
        <v>5939.8249822760681</v>
      </c>
      <c r="F8" s="16">
        <f>Numbers!$B$35*('30 Year IRR'!E8+'30 Year IRR'!C8-IF(A8&lt;27.5,Numbers!$E$14,0))</f>
        <v>1237.2555021645139</v>
      </c>
      <c r="G8" s="16">
        <f t="shared" si="0"/>
        <v>4702.5694801115542</v>
      </c>
    </row>
    <row r="9" spans="1:9" x14ac:dyDescent="0.25">
      <c r="A9" s="17">
        <v>6</v>
      </c>
      <c r="B9" s="16">
        <f>IF(A9&lt;=Numbers!$B$5,Numbers!$E$4*(12*'30 Year IRR'!A9-1/(1+Numbers!$B$4/12)^(Numbers!$B$5*12-12*'30 Year IRR'!A9)*(1-1/(1+Numbers!$B$4/12)^(12*'30 Year IRR'!A9))/(Numbers!$B$4/12))-Numbers!$E$4*(12*'30 Year IRR'!A8-1/(1+Numbers!$B$4/12)^(Numbers!$B$5*12-12*'30 Year IRR'!A8)*(1-1/(1+Numbers!$B$4/12)^(12*'30 Year IRR'!A8))/(Numbers!$B$4/12)),0)</f>
        <v>2515.7615979036655</v>
      </c>
      <c r="C9" s="16">
        <f>IF(A9&lt;=Numbers!$B$5,Numbers!$E$4*(1/(1+Numbers!$B$4/12))^(12*Numbers!$B$5-12*'30 Year IRR'!A9)*(1-1/(1+Numbers!$B$4/12)^(12*'30 Year IRR'!A9))/(Numbers!$B$4/12)-Numbers!$E$4*(1/(1+Numbers!$B$4/12))^(12*Numbers!$B$5-12*('30 Year IRR'!A9-1))*(1-1/(1+Numbers!$B$4/12)^(12*('30 Year IRR'!A9-1)))/(Numbers!$B$4/12),0)</f>
        <v>1541.5317689402618</v>
      </c>
      <c r="D9" s="16">
        <f>IF(SUM($C$3:C8)/Numbers!$E$3&lt;Numbers!$B$10,12*Numbers!$E$7,0)</f>
        <v>320.62499999999994</v>
      </c>
      <c r="E9" s="16">
        <f>12*Numbers!$B$15*(1-Numbers!$B$33)*(1+Numbers!$B$30)^('30 Year IRR'!A9-1)-('30 Year IRR'!B9+'30 Year IRR'!C9+'30 Year IRR'!D9+12*(Numbers!$E$8+Numbers!$E$9)*(1+Numbers!$B$30)^('30 Year IRR'!A9-1)+12*(1-Numbers!$B$33)*Numbers!$B$16*(1+Numbers!$B$30)^('30 Year IRR'!A9-1)+12*Numbers!$B$33*Numbers!$B$19*(1+Numbers!$B$30)^('30 Year IRR'!A9-1))</f>
        <v>6146.179849258473</v>
      </c>
      <c r="F9" s="16">
        <f>Numbers!$B$35*('30 Year IRR'!E9+'30 Year IRR'!C9-IF(A9&lt;27.5,Numbers!$E$14,0))</f>
        <v>1303.7460863678657</v>
      </c>
      <c r="G9" s="16">
        <f t="shared" si="0"/>
        <v>4842.4337628906069</v>
      </c>
    </row>
    <row r="10" spans="1:9" x14ac:dyDescent="0.25">
      <c r="A10" s="17">
        <v>7</v>
      </c>
      <c r="B10" s="16">
        <f>IF(A10&lt;=Numbers!$B$5,Numbers!$E$4*(12*'30 Year IRR'!A10-1/(1+Numbers!$B$4/12)^(Numbers!$B$5*12-12*'30 Year IRR'!A10)*(1-1/(1+Numbers!$B$4/12)^(12*'30 Year IRR'!A10))/(Numbers!$B$4/12))-Numbers!$E$4*(12*'30 Year IRR'!A9-1/(1+Numbers!$B$4/12)^(Numbers!$B$5*12-12*'30 Year IRR'!A9)*(1-1/(1+Numbers!$B$4/12)^(12*'30 Year IRR'!A9))/(Numbers!$B$4/12)),0)</f>
        <v>2453.7565356573068</v>
      </c>
      <c r="C10" s="16">
        <f>IF(A10&lt;=Numbers!$B$5,Numbers!$E$4*(1/(1+Numbers!$B$4/12))^(12*Numbers!$B$5-12*'30 Year IRR'!A10)*(1-1/(1+Numbers!$B$4/12)^(12*'30 Year IRR'!A10))/(Numbers!$B$4/12)-Numbers!$E$4*(1/(1+Numbers!$B$4/12))^(12*Numbers!$B$5-12*('30 Year IRR'!A10-1))*(1-1/(1+Numbers!$B$4/12)^(12*('30 Year IRR'!A10-1)))/(Numbers!$B$4/12),0)</f>
        <v>1603.5368311866241</v>
      </c>
      <c r="D10" s="16">
        <f>IF(SUM($C$3:C9)/Numbers!$E$3&lt;Numbers!$B$10,12*Numbers!$E$7,0)</f>
        <v>320.62499999999994</v>
      </c>
      <c r="E10" s="16">
        <f>12*Numbers!$B$15*(1-Numbers!$B$33)*(1+Numbers!$B$30)^('30 Year IRR'!A10-1)-('30 Year IRR'!B10+'30 Year IRR'!C10+'30 Year IRR'!D10+12*(Numbers!$E$8+Numbers!$E$9)*(1+Numbers!$B$30)^('30 Year IRR'!A10-1)+12*(1-Numbers!$B$33)*Numbers!$B$16*(1+Numbers!$B$30)^('30 Year IRR'!A10-1)+12*Numbers!$B$33*Numbers!$B$19*(1+Numbers!$B$30)^('30 Year IRR'!A10-1))</f>
        <v>6356.6618135805165</v>
      </c>
      <c r="F10" s="16">
        <f>Numbers!$B$35*('30 Year IRR'!E10+'30 Year IRR'!C10-IF(A10&lt;27.5,Numbers!$E$14,0))</f>
        <v>1371.8678430099671</v>
      </c>
      <c r="G10" s="16">
        <f t="shared" si="0"/>
        <v>4984.7939705705494</v>
      </c>
    </row>
    <row r="11" spans="1:9" x14ac:dyDescent="0.25">
      <c r="A11" s="17">
        <v>8</v>
      </c>
      <c r="B11" s="16">
        <f>IF(A11&lt;=Numbers!$B$5,Numbers!$E$4*(12*'30 Year IRR'!A11-1/(1+Numbers!$B$4/12)^(Numbers!$B$5*12-12*'30 Year IRR'!A11)*(1-1/(1+Numbers!$B$4/12)^(12*'30 Year IRR'!A11))/(Numbers!$B$4/12))-Numbers!$E$4*(12*'30 Year IRR'!A10-1/(1+Numbers!$B$4/12)^(Numbers!$B$5*12-12*'30 Year IRR'!A10)*(1-1/(1+Numbers!$B$4/12)^(12*'30 Year IRR'!A10))/(Numbers!$B$4/12)),0)</f>
        <v>2389.257442589369</v>
      </c>
      <c r="C11" s="16">
        <f>IF(A11&lt;=Numbers!$B$5,Numbers!$E$4*(1/(1+Numbers!$B$4/12))^(12*Numbers!$B$5-12*'30 Year IRR'!A11)*(1-1/(1+Numbers!$B$4/12)^(12*'30 Year IRR'!A11))/(Numbers!$B$4/12)-Numbers!$E$4*(1/(1+Numbers!$B$4/12))^(12*Numbers!$B$5-12*('30 Year IRR'!A11-1))*(1-1/(1+Numbers!$B$4/12)^(12*('30 Year IRR'!A11-1)))/(Numbers!$B$4/12),0)</f>
        <v>1668.0359242545601</v>
      </c>
      <c r="D11" s="16">
        <f>IF(SUM($C$3:C10)/Numbers!$E$3&lt;Numbers!$B$10,12*Numbers!$E$7,0)</f>
        <v>320.62499999999994</v>
      </c>
      <c r="E11" s="16">
        <f>12*Numbers!$B$15*(1-Numbers!$B$33)*(1+Numbers!$B$30)^('30 Year IRR'!A11-1)-('30 Year IRR'!B11+'30 Year IRR'!C11+'30 Year IRR'!D11+12*(Numbers!$E$8+Numbers!$E$9)*(1+Numbers!$B$30)^('30 Year IRR'!A11-1)+12*(1-Numbers!$B$33)*Numbers!$B$16*(1+Numbers!$B$30)^('30 Year IRR'!A11-1)+12*Numbers!$B$33*Numbers!$B$19*(1+Numbers!$B$30)^('30 Year IRR'!A11-1))</f>
        <v>6571.353417189006</v>
      </c>
      <c r="F11" s="16">
        <f>Numbers!$B$35*('30 Year IRR'!E11+'30 Year IRR'!C11-IF(A11&lt;27.5,Numbers!$E$14,0))</f>
        <v>1441.6655171790735</v>
      </c>
      <c r="G11" s="16">
        <f t="shared" si="0"/>
        <v>5129.6879000099325</v>
      </c>
    </row>
    <row r="12" spans="1:9" x14ac:dyDescent="0.25">
      <c r="A12" s="17">
        <v>9</v>
      </c>
      <c r="B12" s="16">
        <f>IF(A12&lt;=Numbers!$B$5,Numbers!$E$4*(12*'30 Year IRR'!A12-1/(1+Numbers!$B$4/12)^(Numbers!$B$5*12-12*'30 Year IRR'!A12)*(1-1/(1+Numbers!$B$4/12)^(12*'30 Year IRR'!A12))/(Numbers!$B$4/12))-Numbers!$E$4*(12*'30 Year IRR'!A11-1/(1+Numbers!$B$4/12)^(Numbers!$B$5*12-12*'30 Year IRR'!A11)*(1-1/(1+Numbers!$B$4/12)^(12*'30 Year IRR'!A11))/(Numbers!$B$4/12)),0)</f>
        <v>2322.164001249741</v>
      </c>
      <c r="C12" s="16">
        <f>IF(A12&lt;=Numbers!$B$5,Numbers!$E$4*(1/(1+Numbers!$B$4/12))^(12*Numbers!$B$5-12*'30 Year IRR'!A12)*(1-1/(1+Numbers!$B$4/12)^(12*'30 Year IRR'!A12))/(Numbers!$B$4/12)-Numbers!$E$4*(1/(1+Numbers!$B$4/12))^(12*Numbers!$B$5-12*('30 Year IRR'!A12-1))*(1-1/(1+Numbers!$B$4/12)^(12*('30 Year IRR'!A12-1)))/(Numbers!$B$4/12),0)</f>
        <v>1735.1293655941881</v>
      </c>
      <c r="D12" s="16">
        <f>IF(SUM($C$3:C11)/Numbers!$E$3&lt;Numbers!$B$10,12*Numbers!$E$7,0)</f>
        <v>320.62499999999994</v>
      </c>
      <c r="E12" s="16">
        <f>12*Numbers!$B$15*(1-Numbers!$B$33)*(1+Numbers!$B$30)^('30 Year IRR'!A12-1)-('30 Year IRR'!B12+'30 Year IRR'!C12+'30 Year IRR'!D12+12*(Numbers!$E$8+Numbers!$E$9)*(1+Numbers!$B$30)^('30 Year IRR'!A12-1)+12*(1-Numbers!$B$33)*Numbers!$B$16*(1+Numbers!$B$30)^('30 Year IRR'!A12-1)+12*Numbers!$B$33*Numbers!$B$19*(1+Numbers!$B$30)^('30 Year IRR'!A12-1))</f>
        <v>6790.3388528696651</v>
      </c>
      <c r="F12" s="16">
        <f>Numbers!$B$35*('30 Year IRR'!E12+'30 Year IRR'!C12-IF(A12&lt;27.5,Numbers!$E$14,0))</f>
        <v>1513.1852364341453</v>
      </c>
      <c r="G12" s="16">
        <f t="shared" si="0"/>
        <v>5277.1536164355202</v>
      </c>
    </row>
    <row r="13" spans="1:9" x14ac:dyDescent="0.25">
      <c r="A13" s="17">
        <v>10</v>
      </c>
      <c r="B13" s="16">
        <f>IF(A13&lt;=Numbers!$B$5,Numbers!$E$4*(12*'30 Year IRR'!A13-1/(1+Numbers!$B$4/12)^(Numbers!$B$5*12-12*'30 Year IRR'!A13)*(1-1/(1+Numbers!$B$4/12)^(12*'30 Year IRR'!A13))/(Numbers!$B$4/12))-Numbers!$E$4*(12*'30 Year IRR'!A12-1/(1+Numbers!$B$4/12)^(Numbers!$B$5*12-12*'30 Year IRR'!A12)*(1-1/(1+Numbers!$B$4/12)^(12*'30 Year IRR'!A12))/(Numbers!$B$4/12)),0)</f>
        <v>2252.371859117553</v>
      </c>
      <c r="C13" s="16">
        <f>IF(A13&lt;=Numbers!$B$5,Numbers!$E$4*(1/(1+Numbers!$B$4/12))^(12*Numbers!$B$5-12*'30 Year IRR'!A13)*(1-1/(1+Numbers!$B$4/12)^(12*'30 Year IRR'!A13))/(Numbers!$B$4/12)-Numbers!$E$4*(1/(1+Numbers!$B$4/12))^(12*Numbers!$B$5-12*('30 Year IRR'!A13-1))*(1-1/(1+Numbers!$B$4/12)^(12*('30 Year IRR'!A13-1)))/(Numbers!$B$4/12),0)</f>
        <v>1804.9215077263634</v>
      </c>
      <c r="D13" s="16">
        <f>IF(SUM($C$3:C12)/Numbers!$E$3&lt;Numbers!$B$10,12*Numbers!$E$7,0)</f>
        <v>320.62499999999994</v>
      </c>
      <c r="E13" s="16">
        <f>12*Numbers!$B$15*(1-Numbers!$B$33)*(1+Numbers!$B$30)^('30 Year IRR'!A13-1)-('30 Year IRR'!B13+'30 Year IRR'!C13+'30 Year IRR'!D13+12*(Numbers!$E$8+Numbers!$E$9)*(1+Numbers!$B$30)^('30 Year IRR'!A13-1)+12*(1-Numbers!$B$33)*Numbers!$B$16*(1+Numbers!$B$30)^('30 Year IRR'!A13-1)+12*Numbers!$B$33*Numbers!$B$19*(1+Numbers!$B$30)^('30 Year IRR'!A13-1))</f>
        <v>7013.7039972639486</v>
      </c>
      <c r="F13" s="16">
        <f>Numbers!$B$35*('30 Year IRR'!E13+'30 Year IRR'!C13-IF(A13&lt;27.5,Numbers!$E$14,0))</f>
        <v>1586.47455806576</v>
      </c>
      <c r="G13" s="16">
        <f t="shared" si="0"/>
        <v>5427.2294391981886</v>
      </c>
    </row>
    <row r="14" spans="1:9" x14ac:dyDescent="0.25">
      <c r="A14" s="17">
        <v>11</v>
      </c>
      <c r="B14" s="16">
        <f>IF(A14&lt;=Numbers!$B$5,Numbers!$E$4*(12*'30 Year IRR'!A14-1/(1+Numbers!$B$4/12)^(Numbers!$B$5*12-12*'30 Year IRR'!A14)*(1-1/(1+Numbers!$B$4/12)^(12*'30 Year IRR'!A14))/(Numbers!$B$4/12))-Numbers!$E$4*(12*'30 Year IRR'!A13-1/(1+Numbers!$B$4/12)^(Numbers!$B$5*12-12*'30 Year IRR'!A13)*(1-1/(1+Numbers!$B$4/12)^(12*'30 Year IRR'!A13))/(Numbers!$B$4/12)),0)</f>
        <v>2179.7724662984874</v>
      </c>
      <c r="C14" s="16">
        <f>IF(A14&lt;=Numbers!$B$5,Numbers!$E$4*(1/(1+Numbers!$B$4/12))^(12*Numbers!$B$5-12*'30 Year IRR'!A14)*(1-1/(1+Numbers!$B$4/12)^(12*'30 Year IRR'!A14))/(Numbers!$B$4/12)-Numbers!$E$4*(1/(1+Numbers!$B$4/12))^(12*Numbers!$B$5-12*('30 Year IRR'!A14-1))*(1-1/(1+Numbers!$B$4/12)^(12*('30 Year IRR'!A14-1)))/(Numbers!$B$4/12),0)</f>
        <v>1877.520900545429</v>
      </c>
      <c r="D14" s="16">
        <f>IF(SUM($C$3:C13)/Numbers!$E$3&lt;Numbers!$B$10,12*Numbers!$E$7,0)</f>
        <v>0</v>
      </c>
      <c r="E14" s="16">
        <f>12*Numbers!$B$15*(1-Numbers!$B$33)*(1+Numbers!$B$30)^('30 Year IRR'!A14-1)-('30 Year IRR'!B14+'30 Year IRR'!C14+'30 Year IRR'!D14+12*(Numbers!$E$8+Numbers!$E$9)*(1+Numbers!$B$30)^('30 Year IRR'!A14-1)+12*(1-Numbers!$B$33)*Numbers!$B$16*(1+Numbers!$B$30)^('30 Year IRR'!A14-1)+12*Numbers!$B$33*Numbers!$B$19*(1+Numbers!$B$30)^('30 Year IRR'!A14-1))</f>
        <v>7562.1614445461091</v>
      </c>
      <c r="F14" s="16">
        <f>Numbers!$B$35*('30 Year IRR'!E14+'30 Year IRR'!C14-IF(A14&lt;27.5,Numbers!$E$14,0))</f>
        <v>1741.7387680910665</v>
      </c>
      <c r="G14" s="16">
        <f t="shared" si="0"/>
        <v>5820.4226764550422</v>
      </c>
    </row>
    <row r="15" spans="1:9" x14ac:dyDescent="0.25">
      <c r="A15" s="17">
        <v>12</v>
      </c>
      <c r="B15" s="16">
        <f>IF(A15&lt;=Numbers!$B$5,Numbers!$E$4*(12*'30 Year IRR'!A15-1/(1+Numbers!$B$4/12)^(Numbers!$B$5*12-12*'30 Year IRR'!A15)*(1-1/(1+Numbers!$B$4/12)^(12*'30 Year IRR'!A15))/(Numbers!$B$4/12))-Numbers!$E$4*(12*'30 Year IRR'!A14-1/(1+Numbers!$B$4/12)^(Numbers!$B$5*12-12*'30 Year IRR'!A14)*(1-1/(1+Numbers!$B$4/12)^(12*'30 Year IRR'!A14))/(Numbers!$B$4/12)),0)</f>
        <v>2104.2529066937095</v>
      </c>
      <c r="C15" s="16">
        <f>IF(A15&lt;=Numbers!$B$5,Numbers!$E$4*(1/(1+Numbers!$B$4/12))^(12*Numbers!$B$5-12*'30 Year IRR'!A15)*(1-1/(1+Numbers!$B$4/12)^(12*'30 Year IRR'!A15))/(Numbers!$B$4/12)-Numbers!$E$4*(1/(1+Numbers!$B$4/12))^(12*Numbers!$B$5-12*('30 Year IRR'!A15-1))*(1-1/(1+Numbers!$B$4/12)^(12*('30 Year IRR'!A15-1)))/(Numbers!$B$4/12),0)</f>
        <v>1953.0404601502123</v>
      </c>
      <c r="D15" s="16">
        <f>IF(SUM($C$3:C14)/Numbers!$E$3&lt;Numbers!$B$10,12*Numbers!$E$7,0)</f>
        <v>0</v>
      </c>
      <c r="E15" s="16">
        <f>12*Numbers!$B$15*(1-Numbers!$B$33)*(1+Numbers!$B$30)^('30 Year IRR'!A15-1)-('30 Year IRR'!B15+'30 Year IRR'!C15+'30 Year IRR'!D15+12*(Numbers!$E$8+Numbers!$E$9)*(1+Numbers!$B$30)^('30 Year IRR'!A15-1)+12*(1-Numbers!$B$33)*Numbers!$B$16*(1+Numbers!$B$30)^('30 Year IRR'!A15-1)+12*Numbers!$B$33*Numbers!$B$19*(1+Numbers!$B$30)^('30 Year IRR'!A15-1))</f>
        <v>7794.5505407739001</v>
      </c>
      <c r="F15" s="16">
        <f>Numbers!$B$35*('30 Year IRR'!E15+'30 Year IRR'!C15-IF(A15&lt;27.5,Numbers!$E$14,0))</f>
        <v>1818.7159320492101</v>
      </c>
      <c r="G15" s="16">
        <f t="shared" si="0"/>
        <v>5975.83460872469</v>
      </c>
    </row>
    <row r="16" spans="1:9" x14ac:dyDescent="0.25">
      <c r="A16" s="17">
        <v>13</v>
      </c>
      <c r="B16" s="16">
        <f>IF(A16&lt;=Numbers!$B$5,Numbers!$E$4*(12*'30 Year IRR'!A16-1/(1+Numbers!$B$4/12)^(Numbers!$B$5*12-12*'30 Year IRR'!A16)*(1-1/(1+Numbers!$B$4/12)^(12*'30 Year IRR'!A16))/(Numbers!$B$4/12))-Numbers!$E$4*(12*'30 Year IRR'!A15-1/(1+Numbers!$B$4/12)^(Numbers!$B$5*12-12*'30 Year IRR'!A15)*(1-1/(1+Numbers!$B$4/12)^(12*'30 Year IRR'!A15))/(Numbers!$B$4/12)),0)</f>
        <v>2025.6957223779209</v>
      </c>
      <c r="C16" s="16">
        <f>IF(A16&lt;=Numbers!$B$5,Numbers!$E$4*(1/(1+Numbers!$B$4/12))^(12*Numbers!$B$5-12*'30 Year IRR'!A16)*(1-1/(1+Numbers!$B$4/12)^(12*'30 Year IRR'!A16))/(Numbers!$B$4/12)-Numbers!$E$4*(1/(1+Numbers!$B$4/12))^(12*Numbers!$B$5-12*('30 Year IRR'!A16-1))*(1-1/(1+Numbers!$B$4/12)^(12*('30 Year IRR'!A16-1)))/(Numbers!$B$4/12),0)</f>
        <v>2031.5976444659937</v>
      </c>
      <c r="D16" s="16">
        <f>IF(SUM($C$3:C15)/Numbers!$E$3&lt;Numbers!$B$10,12*Numbers!$E$7,0)</f>
        <v>0</v>
      </c>
      <c r="E16" s="16">
        <f>12*Numbers!$B$15*(1-Numbers!$B$33)*(1+Numbers!$B$30)^('30 Year IRR'!A16-1)-('30 Year IRR'!B16+'30 Year IRR'!C16+'30 Year IRR'!D16+12*(Numbers!$E$8+Numbers!$E$9)*(1+Numbers!$B$30)^('30 Year IRR'!A16-1)+12*(1-Numbers!$B$33)*Numbers!$B$16*(1+Numbers!$B$30)^('30 Year IRR'!A16-1)+12*Numbers!$B$33*Numbers!$B$19*(1+Numbers!$B$30)^('30 Year IRR'!A16-1))</f>
        <v>8031.5874189262668</v>
      </c>
      <c r="F16" s="16">
        <f>Numbers!$B$35*('30 Year IRR'!E16+'30 Year IRR'!C16-IF(A16&lt;27.5,Numbers!$E$14,0))</f>
        <v>1897.6144476662471</v>
      </c>
      <c r="G16" s="16">
        <f t="shared" si="0"/>
        <v>6133.9729712600201</v>
      </c>
    </row>
    <row r="17" spans="1:7" x14ac:dyDescent="0.25">
      <c r="A17" s="17">
        <v>14</v>
      </c>
      <c r="B17" s="16">
        <f>IF(A17&lt;=Numbers!$B$5,Numbers!$E$4*(12*'30 Year IRR'!A17-1/(1+Numbers!$B$4/12)^(Numbers!$B$5*12-12*'30 Year IRR'!A17)*(1-1/(1+Numbers!$B$4/12)^(12*'30 Year IRR'!A17))/(Numbers!$B$4/12))-Numbers!$E$4*(12*'30 Year IRR'!A16-1/(1+Numbers!$B$4/12)^(Numbers!$B$5*12-12*'30 Year IRR'!A16)*(1-1/(1+Numbers!$B$4/12)^(12*'30 Year IRR'!A16))/(Numbers!$B$4/12)),0)</f>
        <v>1943.9787309134699</v>
      </c>
      <c r="C17" s="16">
        <f>IF(A17&lt;=Numbers!$B$5,Numbers!$E$4*(1/(1+Numbers!$B$4/12))^(12*Numbers!$B$5-12*'30 Year IRR'!A17)*(1-1/(1+Numbers!$B$4/12)^(12*'30 Year IRR'!A17))/(Numbers!$B$4/12)-Numbers!$E$4*(1/(1+Numbers!$B$4/12))^(12*Numbers!$B$5-12*('30 Year IRR'!A17-1))*(1-1/(1+Numbers!$B$4/12)^(12*('30 Year IRR'!A17-1)))/(Numbers!$B$4/12),0)</f>
        <v>2113.3146359304337</v>
      </c>
      <c r="D17" s="16">
        <f>IF(SUM($C$3:C16)/Numbers!$E$3&lt;Numbers!$B$10,12*Numbers!$E$7,0)</f>
        <v>0</v>
      </c>
      <c r="E17" s="16">
        <f>12*Numbers!$B$15*(1-Numbers!$B$33)*(1+Numbers!$B$30)^('30 Year IRR'!A17-1)-('30 Year IRR'!B17+'30 Year IRR'!C17+'30 Year IRR'!D17+12*(Numbers!$E$8+Numbers!$E$9)*(1+Numbers!$B$30)^('30 Year IRR'!A17-1)+12*(1-Numbers!$B$33)*Numbers!$B$16*(1+Numbers!$B$30)^('30 Year IRR'!A17-1)+12*Numbers!$B$33*Numbers!$B$19*(1+Numbers!$B$30)^('30 Year IRR'!A17-1))</f>
        <v>8273.3650346416835</v>
      </c>
      <c r="F17" s="16">
        <f>Numbers!$B$35*('30 Year IRR'!E17+'30 Year IRR'!C17-IF(A17&lt;27.5,Numbers!$E$14,0))</f>
        <v>1978.4880994612113</v>
      </c>
      <c r="G17" s="16">
        <f t="shared" si="0"/>
        <v>6294.8769351804722</v>
      </c>
    </row>
    <row r="18" spans="1:7" x14ac:dyDescent="0.25">
      <c r="A18" s="17">
        <v>15</v>
      </c>
      <c r="B18" s="16">
        <f>IF(A18&lt;=Numbers!$B$5,Numbers!$E$4*(12*'30 Year IRR'!A18-1/(1+Numbers!$B$4/12)^(Numbers!$B$5*12-12*'30 Year IRR'!A18)*(1-1/(1+Numbers!$B$4/12)^(12*'30 Year IRR'!A18))/(Numbers!$B$4/12))-Numbers!$E$4*(12*'30 Year IRR'!A17-1/(1+Numbers!$B$4/12)^(Numbers!$B$5*12-12*'30 Year IRR'!A17)*(1-1/(1+Numbers!$B$4/12)^(12*'30 Year IRR'!A17))/(Numbers!$B$4/12)),0)</f>
        <v>1858.9748353161121</v>
      </c>
      <c r="C18" s="16">
        <f>IF(A18&lt;=Numbers!$B$5,Numbers!$E$4*(1/(1+Numbers!$B$4/12))^(12*Numbers!$B$5-12*'30 Year IRR'!A18)*(1-1/(1+Numbers!$B$4/12)^(12*'30 Year IRR'!A18))/(Numbers!$B$4/12)-Numbers!$E$4*(1/(1+Numbers!$B$4/12))^(12*Numbers!$B$5-12*('30 Year IRR'!A18-1))*(1-1/(1+Numbers!$B$4/12)^(12*('30 Year IRR'!A18-1)))/(Numbers!$B$4/12),0)</f>
        <v>2198.3185315278024</v>
      </c>
      <c r="D18" s="16">
        <f>IF(SUM($C$3:C17)/Numbers!$E$3&lt;Numbers!$B$10,12*Numbers!$E$7,0)</f>
        <v>0</v>
      </c>
      <c r="E18" s="16">
        <f>12*Numbers!$B$15*(1-Numbers!$B$33)*(1+Numbers!$B$30)^('30 Year IRR'!A18-1)-('30 Year IRR'!B18+'30 Year IRR'!C18+'30 Year IRR'!D18+12*(Numbers!$E$8+Numbers!$E$9)*(1+Numbers!$B$30)^('30 Year IRR'!A18-1)+12*(1-Numbers!$B$33)*Numbers!$B$16*(1+Numbers!$B$30)^('30 Year IRR'!A18-1)+12*Numbers!$B$33*Numbers!$B$19*(1+Numbers!$B$30)^('30 Year IRR'!A18-1))</f>
        <v>8519.978202671382</v>
      </c>
      <c r="F18" s="16">
        <f>Numbers!$B$35*('30 Year IRR'!E18+'30 Year IRR'!C18-IF(A18&lt;27.5,Numbers!$E$14,0))</f>
        <v>2061.3923653679781</v>
      </c>
      <c r="G18" s="16">
        <f t="shared" si="0"/>
        <v>6458.5858373034043</v>
      </c>
    </row>
    <row r="19" spans="1:7" x14ac:dyDescent="0.25">
      <c r="A19" s="17">
        <v>16</v>
      </c>
      <c r="B19" s="16">
        <f>IF(A19&lt;=Numbers!$B$5,Numbers!$E$4*(12*'30 Year IRR'!A19-1/(1+Numbers!$B$4/12)^(Numbers!$B$5*12-12*'30 Year IRR'!A19)*(1-1/(1+Numbers!$B$4/12)^(12*'30 Year IRR'!A19))/(Numbers!$B$4/12))-Numbers!$E$4*(12*'30 Year IRR'!A18-1/(1+Numbers!$B$4/12)^(Numbers!$B$5*12-12*'30 Year IRR'!A18)*(1-1/(1+Numbers!$B$4/12)^(12*'30 Year IRR'!A18))/(Numbers!$B$4/12)),0)</f>
        <v>1770.5518263771373</v>
      </c>
      <c r="C19" s="16">
        <f>IF(A19&lt;=Numbers!$B$5,Numbers!$E$4*(1/(1+Numbers!$B$4/12))^(12*Numbers!$B$5-12*'30 Year IRR'!A19)*(1-1/(1+Numbers!$B$4/12)^(12*'30 Year IRR'!A19))/(Numbers!$B$4/12)-Numbers!$E$4*(1/(1+Numbers!$B$4/12))^(12*Numbers!$B$5-12*('30 Year IRR'!A19-1))*(1-1/(1+Numbers!$B$4/12)^(12*('30 Year IRR'!A19-1)))/(Numbers!$B$4/12),0)</f>
        <v>2286.741540466759</v>
      </c>
      <c r="D19" s="16">
        <f>IF(SUM($C$3:C18)/Numbers!$E$3&lt;Numbers!$B$10,12*Numbers!$E$7,0)</f>
        <v>0</v>
      </c>
      <c r="E19" s="16">
        <f>12*Numbers!$B$15*(1-Numbers!$B$33)*(1+Numbers!$B$30)^('30 Year IRR'!A19-1)-('30 Year IRR'!B19+'30 Year IRR'!C19+'30 Year IRR'!D19+12*(Numbers!$E$8+Numbers!$E$9)*(1+Numbers!$B$30)^('30 Year IRR'!A19-1)+12*(1-Numbers!$B$33)*Numbers!$B$16*(1+Numbers!$B$30)^('30 Year IRR'!A19-1)+12*Numbers!$B$33*Numbers!$B$19*(1+Numbers!$B$30)^('30 Year IRR'!A19-1))</f>
        <v>8771.5236340617012</v>
      </c>
      <c r="F19" s="16">
        <f>Numbers!$B$35*('30 Year IRR'!E19+'30 Year IRR'!C19-IF(A19&lt;27.5,Numbers!$E$14,0))</f>
        <v>2146.384475450297</v>
      </c>
      <c r="G19" s="16">
        <f t="shared" si="0"/>
        <v>6625.1391586114041</v>
      </c>
    </row>
    <row r="20" spans="1:7" x14ac:dyDescent="0.25">
      <c r="A20" s="17">
        <v>17</v>
      </c>
      <c r="B20" s="16">
        <f>IF(A20&lt;=Numbers!$B$5,Numbers!$E$4*(12*'30 Year IRR'!A20-1/(1+Numbers!$B$4/12)^(Numbers!$B$5*12-12*'30 Year IRR'!A20)*(1-1/(1+Numbers!$B$4/12)^(12*'30 Year IRR'!A20))/(Numbers!$B$4/12))-Numbers!$E$4*(12*'30 Year IRR'!A19-1/(1+Numbers!$B$4/12)^(Numbers!$B$5*12-12*'30 Year IRR'!A19)*(1-1/(1+Numbers!$B$4/12)^(12*'30 Year IRR'!A19))/(Numbers!$B$4/12)),0)</f>
        <v>1678.572177034308</v>
      </c>
      <c r="C20" s="16">
        <f>IF(A20&lt;=Numbers!$B$5,Numbers!$E$4*(1/(1+Numbers!$B$4/12))^(12*Numbers!$B$5-12*'30 Year IRR'!A20)*(1-1/(1+Numbers!$B$4/12)^(12*'30 Year IRR'!A20))/(Numbers!$B$4/12)-Numbers!$E$4*(1/(1+Numbers!$B$4/12))^(12*Numbers!$B$5-12*('30 Year IRR'!A20-1))*(1-1/(1+Numbers!$B$4/12)^(12*('30 Year IRR'!A20-1)))/(Numbers!$B$4/12),0)</f>
        <v>2378.7211898096029</v>
      </c>
      <c r="D20" s="16">
        <f>IF(SUM($C$3:C19)/Numbers!$E$3&lt;Numbers!$B$10,12*Numbers!$E$7,0)</f>
        <v>0</v>
      </c>
      <c r="E20" s="16">
        <f>12*Numbers!$B$15*(1-Numbers!$B$33)*(1+Numbers!$B$30)^('30 Year IRR'!A20-1)-('30 Year IRR'!B20+'30 Year IRR'!C20+'30 Year IRR'!D20+12*(Numbers!$E$8+Numbers!$E$9)*(1+Numbers!$B$30)^('30 Year IRR'!A20-1)+12*(1-Numbers!$B$33)*Numbers!$B$16*(1+Numbers!$B$30)^('30 Year IRR'!A20-1)+12*Numbers!$B$33*Numbers!$B$19*(1+Numbers!$B$30)^('30 Year IRR'!A20-1))</f>
        <v>9028.0999740798034</v>
      </c>
      <c r="F20" s="16">
        <f>Numbers!$B$35*('30 Year IRR'!E20+'30 Year IRR'!C20-IF(A20&lt;27.5,Numbers!$E$14,0))</f>
        <v>2233.5234727905336</v>
      </c>
      <c r="G20" s="16">
        <f t="shared" si="0"/>
        <v>6794.5765012892698</v>
      </c>
    </row>
    <row r="21" spans="1:7" x14ac:dyDescent="0.25">
      <c r="A21" s="17">
        <v>18</v>
      </c>
      <c r="B21" s="16">
        <f>IF(A21&lt;=Numbers!$B$5,Numbers!$E$4*(12*'30 Year IRR'!A21-1/(1+Numbers!$B$4/12)^(Numbers!$B$5*12-12*'30 Year IRR'!A21)*(1-1/(1+Numbers!$B$4/12)^(12*'30 Year IRR'!A21))/(Numbers!$B$4/12))-Numbers!$E$4*(12*'30 Year IRR'!A20-1/(1+Numbers!$B$4/12)^(Numbers!$B$5*12-12*'30 Year IRR'!A20)*(1-1/(1+Numbers!$B$4/12)^(12*'30 Year IRR'!A20))/(Numbers!$B$4/12)),0)</f>
        <v>1582.8928284716239</v>
      </c>
      <c r="C21" s="16">
        <f>IF(A21&lt;=Numbers!$B$5,Numbers!$E$4*(1/(1+Numbers!$B$4/12))^(12*Numbers!$B$5-12*'30 Year IRR'!A21)*(1-1/(1+Numbers!$B$4/12)^(12*'30 Year IRR'!A21))/(Numbers!$B$4/12)-Numbers!$E$4*(1/(1+Numbers!$B$4/12))^(12*Numbers!$B$5-12*('30 Year IRR'!A21-1))*(1-1/(1+Numbers!$B$4/12)^(12*('30 Year IRR'!A21-1)))/(Numbers!$B$4/12),0)</f>
        <v>2474.4005383722651</v>
      </c>
      <c r="D21" s="16">
        <f>IF(SUM($C$3:C20)/Numbers!$E$3&lt;Numbers!$B$10,12*Numbers!$E$7,0)</f>
        <v>0</v>
      </c>
      <c r="E21" s="16">
        <f>12*Numbers!$B$15*(1-Numbers!$B$33)*(1+Numbers!$B$30)^('30 Year IRR'!A21-1)-('30 Year IRR'!B21+'30 Year IRR'!C21+'30 Year IRR'!D21+12*(Numbers!$E$8+Numbers!$E$9)*(1+Numbers!$B$30)^('30 Year IRR'!A21-1)+12*(1-Numbers!$B$33)*Numbers!$B$16*(1+Numbers!$B$30)^('30 Year IRR'!A21-1)+12*Numbers!$B$33*Numbers!$B$19*(1+Numbers!$B$30)^('30 Year IRR'!A21-1))</f>
        <v>9289.8078408983001</v>
      </c>
      <c r="F21" s="16">
        <f>Numbers!$B$35*('30 Year IRR'!E21+'30 Year IRR'!C21-IF(A21&lt;27.5,Numbers!$E$14,0))</f>
        <v>2322.8702766358233</v>
      </c>
      <c r="G21" s="16">
        <f t="shared" si="0"/>
        <v>6966.9375642624764</v>
      </c>
    </row>
    <row r="22" spans="1:7" x14ac:dyDescent="0.25">
      <c r="A22" s="17">
        <v>19</v>
      </c>
      <c r="B22" s="16">
        <f>IF(A22&lt;=Numbers!$B$5,Numbers!$E$4*(12*'30 Year IRR'!A22-1/(1+Numbers!$B$4/12)^(Numbers!$B$5*12-12*'30 Year IRR'!A22)*(1-1/(1+Numbers!$B$4/12)^(12*'30 Year IRR'!A22))/(Numbers!$B$4/12))-Numbers!$E$4*(12*'30 Year IRR'!A21-1/(1+Numbers!$B$4/12)^(Numbers!$B$5*12-12*'30 Year IRR'!A21)*(1-1/(1+Numbers!$B$4/12)^(12*'30 Year IRR'!A21))/(Numbers!$B$4/12)),0)</f>
        <v>1483.3649676156201</v>
      </c>
      <c r="C22" s="16">
        <f>IF(A22&lt;=Numbers!$B$5,Numbers!$E$4*(1/(1+Numbers!$B$4/12))^(12*Numbers!$B$5-12*'30 Year IRR'!A22)*(1-1/(1+Numbers!$B$4/12)^(12*'30 Year IRR'!A22))/(Numbers!$B$4/12)-Numbers!$E$4*(1/(1+Numbers!$B$4/12))^(12*Numbers!$B$5-12*('30 Year IRR'!A22-1))*(1-1/(1+Numbers!$B$4/12)^(12*('30 Year IRR'!A22-1)))/(Numbers!$B$4/12),0)</f>
        <v>2573.9283992282799</v>
      </c>
      <c r="D22" s="16">
        <f>IF(SUM($C$3:C21)/Numbers!$E$3&lt;Numbers!$B$10,12*Numbers!$E$7,0)</f>
        <v>0</v>
      </c>
      <c r="E22" s="16">
        <f>12*Numbers!$B$15*(1-Numbers!$B$33)*(1+Numbers!$B$30)^('30 Year IRR'!A22-1)-('30 Year IRR'!B22+'30 Year IRR'!C22+'30 Year IRR'!D22+12*(Numbers!$E$8+Numbers!$E$9)*(1+Numbers!$B$30)^('30 Year IRR'!A22-1)+12*(1-Numbers!$B$33)*Numbers!$B$16*(1+Numbers!$B$30)^('30 Year IRR'!A22-1)+12*Numbers!$B$33*Numbers!$B$19*(1+Numbers!$B$30)^('30 Year IRR'!A22-1))</f>
        <v>9556.7498650531325</v>
      </c>
      <c r="F22" s="16">
        <f>Numbers!$B$35*('30 Year IRR'!E22+'30 Year IRR'!C22-IF(A22&lt;27.5,Numbers!$E$14,0))</f>
        <v>2414.4877478885351</v>
      </c>
      <c r="G22" s="16">
        <f t="shared" si="0"/>
        <v>7142.2621171645969</v>
      </c>
    </row>
    <row r="23" spans="1:7" x14ac:dyDescent="0.25">
      <c r="A23" s="17">
        <v>20</v>
      </c>
      <c r="B23" s="16">
        <f>IF(A23&lt;=Numbers!$B$5,Numbers!$E$4*(12*'30 Year IRR'!A23-1/(1+Numbers!$B$4/12)^(Numbers!$B$5*12-12*'30 Year IRR'!A23)*(1-1/(1+Numbers!$B$4/12)^(12*'30 Year IRR'!A23))/(Numbers!$B$4/12))-Numbers!$E$4*(12*'30 Year IRR'!A22-1/(1+Numbers!$B$4/12)^(Numbers!$B$5*12-12*'30 Year IRR'!A22)*(1-1/(1+Numbers!$B$4/12)^(12*'30 Year IRR'!A22))/(Numbers!$B$4/12)),0)</f>
        <v>1379.8337956816467</v>
      </c>
      <c r="C23" s="16">
        <f>IF(A23&lt;=Numbers!$B$5,Numbers!$E$4*(1/(1+Numbers!$B$4/12))^(12*Numbers!$B$5-12*'30 Year IRR'!A23)*(1-1/(1+Numbers!$B$4/12)^(12*'30 Year IRR'!A23))/(Numbers!$B$4/12)-Numbers!$E$4*(1/(1+Numbers!$B$4/12))^(12*Numbers!$B$5-12*('30 Year IRR'!A23-1))*(1-1/(1+Numbers!$B$4/12)^(12*('30 Year IRR'!A23-1)))/(Numbers!$B$4/12),0)</f>
        <v>2677.4595711622242</v>
      </c>
      <c r="D23" s="16">
        <f>IF(SUM($C$3:C22)/Numbers!$E$3&lt;Numbers!$B$10,12*Numbers!$E$7,0)</f>
        <v>0</v>
      </c>
      <c r="E23" s="16">
        <f>12*Numbers!$B$15*(1-Numbers!$B$33)*(1+Numbers!$B$30)^('30 Year IRR'!A23-1)-('30 Year IRR'!B23+'30 Year IRR'!C23+'30 Year IRR'!D23+12*(Numbers!$E$8+Numbers!$E$9)*(1+Numbers!$B$30)^('30 Year IRR'!A23-1)+12*(1-Numbers!$B$33)*Numbers!$B$16*(1+Numbers!$B$30)^('30 Year IRR'!A23-1)+12*Numbers!$B$33*Numbers!$B$19*(1+Numbers!$B$30)^('30 Year IRR'!A23-1))</f>
        <v>9829.0307296910996</v>
      </c>
      <c r="F23" s="16">
        <f>Numbers!$B$35*('30 Year IRR'!E23+'30 Year IRR'!C23-IF(A23&lt;27.5,Numbers!$E$14,0))</f>
        <v>2508.4407570315129</v>
      </c>
      <c r="G23" s="16">
        <f t="shared" si="0"/>
        <v>7320.5899726595871</v>
      </c>
    </row>
    <row r="24" spans="1:7" x14ac:dyDescent="0.25">
      <c r="A24" s="17">
        <v>21</v>
      </c>
      <c r="B24" s="16">
        <f>IF(A24&lt;=Numbers!$B$5,Numbers!$E$4*(12*'30 Year IRR'!A24-1/(1+Numbers!$B$4/12)^(Numbers!$B$5*12-12*'30 Year IRR'!A24)*(1-1/(1+Numbers!$B$4/12)^(12*'30 Year IRR'!A24))/(Numbers!$B$4/12))-Numbers!$E$4*(12*'30 Year IRR'!A23-1/(1+Numbers!$B$4/12)^(Numbers!$B$5*12-12*'30 Year IRR'!A23)*(1-1/(1+Numbers!$B$4/12)^(12*'30 Year IRR'!A23))/(Numbers!$B$4/12)),0)</f>
        <v>1272.1382874105766</v>
      </c>
      <c r="C24" s="16">
        <f>IF(A24&lt;=Numbers!$B$5,Numbers!$E$4*(1/(1+Numbers!$B$4/12))^(12*Numbers!$B$5-12*'30 Year IRR'!A24)*(1-1/(1+Numbers!$B$4/12)^(12*'30 Year IRR'!A24))/(Numbers!$B$4/12)-Numbers!$E$4*(1/(1+Numbers!$B$4/12))^(12*Numbers!$B$5-12*('30 Year IRR'!A24-1))*(1-1/(1+Numbers!$B$4/12)^(12*('30 Year IRR'!A24-1)))/(Numbers!$B$4/12),0)</f>
        <v>2785.1550794333234</v>
      </c>
      <c r="D24" s="16">
        <f>IF(SUM($C$3:C23)/Numbers!$E$3&lt;Numbers!$B$10,12*Numbers!$E$7,0)</f>
        <v>0</v>
      </c>
      <c r="E24" s="16">
        <f>12*Numbers!$B$15*(1-Numbers!$B$33)*(1+Numbers!$B$30)^('30 Year IRR'!A24-1)-('30 Year IRR'!B24+'30 Year IRR'!C24+'30 Year IRR'!D24+12*(Numbers!$E$8+Numbers!$E$9)*(1+Numbers!$B$30)^('30 Year IRR'!A24-1)+12*(1-Numbers!$B$33)*Numbers!$B$16*(1+Numbers!$B$30)^('30 Year IRR'!A24-1)+12*Numbers!$B$33*Numbers!$B$19*(1+Numbers!$B$30)^('30 Year IRR'!A24-1))</f>
        <v>10106.757211621774</v>
      </c>
      <c r="F24" s="16">
        <f>Numbers!$B$35*('30 Year IRR'!E24+'30 Year IRR'!C24-IF(A24&lt;27.5,Numbers!$E$14,0))</f>
        <v>2604.7962545819564</v>
      </c>
      <c r="G24" s="16">
        <f t="shared" si="0"/>
        <v>7501.9609570398179</v>
      </c>
    </row>
    <row r="25" spans="1:7" x14ac:dyDescent="0.25">
      <c r="A25" s="17">
        <v>22</v>
      </c>
      <c r="B25" s="16">
        <f>IF(A25&lt;=Numbers!$B$5,Numbers!$E$4*(12*'30 Year IRR'!A25-1/(1+Numbers!$B$4/12)^(Numbers!$B$5*12-12*'30 Year IRR'!A25)*(1-1/(1+Numbers!$B$4/12)^(12*'30 Year IRR'!A25))/(Numbers!$B$4/12))-Numbers!$E$4*(12*'30 Year IRR'!A24-1/(1+Numbers!$B$4/12)^(Numbers!$B$5*12-12*'30 Year IRR'!A24)*(1-1/(1+Numbers!$B$4/12)^(12*'30 Year IRR'!A24))/(Numbers!$B$4/12)),0)</f>
        <v>1160.1109406211253</v>
      </c>
      <c r="C25" s="16">
        <f>IF(A25&lt;=Numbers!$B$5,Numbers!$E$4*(1/(1+Numbers!$B$4/12))^(12*Numbers!$B$5-12*'30 Year IRR'!A25)*(1-1/(1+Numbers!$B$4/12)^(12*'30 Year IRR'!A25))/(Numbers!$B$4/12)-Numbers!$E$4*(1/(1+Numbers!$B$4/12))^(12*Numbers!$B$5-12*('30 Year IRR'!A25-1))*(1-1/(1+Numbers!$B$4/12)^(12*('30 Year IRR'!A25-1)))/(Numbers!$B$4/12),0)</f>
        <v>2897.182426222731</v>
      </c>
      <c r="D25" s="16">
        <f>IF(SUM($C$3:C24)/Numbers!$E$3&lt;Numbers!$B$10,12*Numbers!$E$7,0)</f>
        <v>0</v>
      </c>
      <c r="E25" s="16">
        <f>12*Numbers!$B$15*(1-Numbers!$B$33)*(1+Numbers!$B$30)^('30 Year IRR'!A25-1)-('30 Year IRR'!B25+'30 Year IRR'!C25+'30 Year IRR'!D25+12*(Numbers!$E$8+Numbers!$E$9)*(1+Numbers!$B$30)^('30 Year IRR'!A25-1)+12*(1-Numbers!$B$33)*Numbers!$B$16*(1+Numbers!$B$30)^('30 Year IRR'!A25-1)+12*Numbers!$B$33*Numbers!$B$19*(1+Numbers!$B$30)^('30 Year IRR'!A25-1))</f>
        <v>10390.038223191128</v>
      </c>
      <c r="F25" s="16">
        <f>Numbers!$B$35*('30 Year IRR'!E25+'30 Year IRR'!C25-IF(A25&lt;27.5,Numbers!$E$14,0))</f>
        <v>2703.6233441716467</v>
      </c>
      <c r="G25" s="16">
        <f t="shared" si="0"/>
        <v>7686.4148790194813</v>
      </c>
    </row>
    <row r="26" spans="1:7" x14ac:dyDescent="0.25">
      <c r="A26" s="17">
        <v>23</v>
      </c>
      <c r="B26" s="16">
        <f>IF(A26&lt;=Numbers!$B$5,Numbers!$E$4*(12*'30 Year IRR'!A26-1/(1+Numbers!$B$4/12)^(Numbers!$B$5*12-12*'30 Year IRR'!A26)*(1-1/(1+Numbers!$B$4/12)^(12*'30 Year IRR'!A26))/(Numbers!$B$4/12))-Numbers!$E$4*(12*'30 Year IRR'!A25-1/(1+Numbers!$B$4/12)^(Numbers!$B$5*12-12*'30 Year IRR'!A25)*(1-1/(1+Numbers!$B$4/12)^(12*'30 Year IRR'!A25))/(Numbers!$B$4/12)),0)</f>
        <v>1043.5775156885284</v>
      </c>
      <c r="C26" s="16">
        <f>IF(A26&lt;=Numbers!$B$5,Numbers!$E$4*(1/(1+Numbers!$B$4/12))^(12*Numbers!$B$5-12*'30 Year IRR'!A26)*(1-1/(1+Numbers!$B$4/12)^(12*'30 Year IRR'!A26))/(Numbers!$B$4/12)-Numbers!$E$4*(1/(1+Numbers!$B$4/12))^(12*Numbers!$B$5-12*('30 Year IRR'!A26-1))*(1-1/(1+Numbers!$B$4/12)^(12*('30 Year IRR'!A26-1)))/(Numbers!$B$4/12),0)</f>
        <v>3013.7158511553353</v>
      </c>
      <c r="D26" s="16">
        <f>IF(SUM($C$3:C25)/Numbers!$E$3&lt;Numbers!$B$10,12*Numbers!$E$7,0)</f>
        <v>0</v>
      </c>
      <c r="E26" s="16">
        <f>12*Numbers!$B$15*(1-Numbers!$B$33)*(1+Numbers!$B$30)^('30 Year IRR'!A26-1)-('30 Year IRR'!B26+'30 Year IRR'!C26+'30 Year IRR'!D26+12*(Numbers!$E$8+Numbers!$E$9)*(1+Numbers!$B$30)^('30 Year IRR'!A26-1)+12*(1-Numbers!$B$33)*Numbers!$B$16*(1+Numbers!$B$30)^('30 Year IRR'!A26-1)+12*Numbers!$B$33*Numbers!$B$19*(1+Numbers!$B$30)^('30 Year IRR'!A26-1))</f>
        <v>10678.984854991821</v>
      </c>
      <c r="F26" s="16">
        <f>Numbers!$B$35*('30 Year IRR'!E26+'30 Year IRR'!C26-IF(A26&lt;27.5,Numbers!$E$14,0))</f>
        <v>2804.993358354971</v>
      </c>
      <c r="G26" s="16">
        <f t="shared" si="0"/>
        <v>7873.9914966368497</v>
      </c>
    </row>
    <row r="27" spans="1:7" x14ac:dyDescent="0.25">
      <c r="A27" s="17">
        <v>24</v>
      </c>
      <c r="B27" s="16">
        <f>IF(A27&lt;=Numbers!$B$5,Numbers!$E$4*(12*'30 Year IRR'!A27-1/(1+Numbers!$B$4/12)^(Numbers!$B$5*12-12*'30 Year IRR'!A27)*(1-1/(1+Numbers!$B$4/12)^(12*'30 Year IRR'!A27))/(Numbers!$B$4/12))-Numbers!$E$4*(12*'30 Year IRR'!A26-1/(1+Numbers!$B$4/12)^(Numbers!$B$5*12-12*'30 Year IRR'!A26)*(1-1/(1+Numbers!$B$4/12)^(12*'30 Year IRR'!A26))/(Numbers!$B$4/12)),0)</f>
        <v>922.35676454424538</v>
      </c>
      <c r="C27" s="16">
        <f>IF(A27&lt;=Numbers!$B$5,Numbers!$E$4*(1/(1+Numbers!$B$4/12))^(12*Numbers!$B$5-12*'30 Year IRR'!A27)*(1-1/(1+Numbers!$B$4/12)^(12*'30 Year IRR'!A27))/(Numbers!$B$4/12)-Numbers!$E$4*(1/(1+Numbers!$B$4/12))^(12*Numbers!$B$5-12*('30 Year IRR'!A27-1))*(1-1/(1+Numbers!$B$4/12)^(12*('30 Year IRR'!A27-1)))/(Numbers!$B$4/12),0)</f>
        <v>3134.9366022996328</v>
      </c>
      <c r="D27" s="16">
        <f>IF(SUM($C$3:C26)/Numbers!$E$3&lt;Numbers!$B$10,12*Numbers!$E$7,0)</f>
        <v>0</v>
      </c>
      <c r="E27" s="16">
        <f>12*Numbers!$B$15*(1-Numbers!$B$33)*(1+Numbers!$B$30)^('30 Year IRR'!A27-1)-('30 Year IRR'!B27+'30 Year IRR'!C27+'30 Year IRR'!D27+12*(Numbers!$E$8+Numbers!$E$9)*(1+Numbers!$B$30)^('30 Year IRR'!A27-1)+12*(1-Numbers!$B$33)*Numbers!$B$16*(1+Numbers!$B$30)^('30 Year IRR'!A27-1)+12*Numbers!$B$33*Numbers!$B$19*(1+Numbers!$B$30)^('30 Year IRR'!A27-1))</f>
        <v>10973.710419428518</v>
      </c>
      <c r="F27" s="16">
        <f>Numbers!$B$35*('30 Year IRR'!E27+'30 Year IRR'!C27-IF(A27&lt;27.5,Numbers!$E$14,0))</f>
        <v>2908.9799372502198</v>
      </c>
      <c r="G27" s="16">
        <f t="shared" si="0"/>
        <v>8064.7304821782982</v>
      </c>
    </row>
    <row r="28" spans="1:7" x14ac:dyDescent="0.25">
      <c r="A28" s="17">
        <v>25</v>
      </c>
      <c r="B28" s="16">
        <f>IF(A28&lt;=Numbers!$B$5,Numbers!$E$4*(12*'30 Year IRR'!A28-1/(1+Numbers!$B$4/12)^(Numbers!$B$5*12-12*'30 Year IRR'!A28)*(1-1/(1+Numbers!$B$4/12)^(12*'30 Year IRR'!A28))/(Numbers!$B$4/12))-Numbers!$E$4*(12*'30 Year IRR'!A27-1/(1+Numbers!$B$4/12)^(Numbers!$B$5*12-12*'30 Year IRR'!A27)*(1-1/(1+Numbers!$B$4/12)^(12*'30 Year IRR'!A27))/(Numbers!$B$4/12)),0)</f>
        <v>796.26014877512353</v>
      </c>
      <c r="C28" s="16">
        <f>IF(A28&lt;=Numbers!$B$5,Numbers!$E$4*(1/(1+Numbers!$B$4/12))^(12*Numbers!$B$5-12*'30 Year IRR'!A28)*(1-1/(1+Numbers!$B$4/12)^(12*'30 Year IRR'!A28))/(Numbers!$B$4/12)-Numbers!$E$4*(1/(1+Numbers!$B$4/12))^(12*Numbers!$B$5-12*('30 Year IRR'!A28-1))*(1-1/(1+Numbers!$B$4/12)^(12*('30 Year IRR'!A28-1)))/(Numbers!$B$4/12),0)</f>
        <v>3261.0332180687474</v>
      </c>
      <c r="D28" s="16">
        <f>IF(SUM($C$3:C27)/Numbers!$E$3&lt;Numbers!$B$10,12*Numbers!$E$7,0)</f>
        <v>0</v>
      </c>
      <c r="E28" s="16">
        <f>12*Numbers!$B$15*(1-Numbers!$B$33)*(1+Numbers!$B$30)^('30 Year IRR'!A28-1)-('30 Year IRR'!B28+'30 Year IRR'!C28+'30 Year IRR'!D28+12*(Numbers!$E$8+Numbers!$E$9)*(1+Numbers!$B$30)^('30 Year IRR'!A28-1)+12*(1-Numbers!$B$33)*Numbers!$B$16*(1+Numbers!$B$30)^('30 Year IRR'!A28-1)+12*Numbers!$B$33*Numbers!$B$19*(1+Numbers!$B$30)^('30 Year IRR'!A28-1))</f>
        <v>11274.330495153974</v>
      </c>
      <c r="F28" s="16">
        <f>Numbers!$B$35*('30 Year IRR'!E28+'30 Year IRR'!C28-IF(A28&lt;27.5,Numbers!$E$14,0))</f>
        <v>3015.6591101238623</v>
      </c>
      <c r="G28" s="16">
        <f t="shared" si="0"/>
        <v>8258.6713850301112</v>
      </c>
    </row>
    <row r="29" spans="1:7" x14ac:dyDescent="0.25">
      <c r="A29" s="17">
        <v>26</v>
      </c>
      <c r="B29" s="16">
        <f>IF(A29&lt;=Numbers!$B$5,Numbers!$E$4*(12*'30 Year IRR'!A29-1/(1+Numbers!$B$4/12)^(Numbers!$B$5*12-12*'30 Year IRR'!A29)*(1-1/(1+Numbers!$B$4/12)^(12*'30 Year IRR'!A29))/(Numbers!$B$4/12))-Numbers!$E$4*(12*'30 Year IRR'!A28-1/(1+Numbers!$B$4/12)^(Numbers!$B$5*12-12*'30 Year IRR'!A28)*(1-1/(1+Numbers!$B$4/12)^(12*'30 Year IRR'!A28))/(Numbers!$B$4/12)),0)</f>
        <v>665.09154638370092</v>
      </c>
      <c r="C29" s="16">
        <f>IF(A29&lt;=Numbers!$B$5,Numbers!$E$4*(1/(1+Numbers!$B$4/12))^(12*Numbers!$B$5-12*'30 Year IRR'!A29)*(1-1/(1+Numbers!$B$4/12)^(12*'30 Year IRR'!A29))/(Numbers!$B$4/12)-Numbers!$E$4*(1/(1+Numbers!$B$4/12))^(12*Numbers!$B$5-12*('30 Year IRR'!A29-1))*(1-1/(1+Numbers!$B$4/12)^(12*('30 Year IRR'!A29-1)))/(Numbers!$B$4/12),0)</f>
        <v>3392.2018204601263</v>
      </c>
      <c r="D29" s="16">
        <f>IF(SUM($C$3:C28)/Numbers!$E$3&lt;Numbers!$B$10,12*Numbers!$E$7,0)</f>
        <v>0</v>
      </c>
      <c r="E29" s="16">
        <f>12*Numbers!$B$15*(1-Numbers!$B$33)*(1+Numbers!$B$30)^('30 Year IRR'!A29-1)-('30 Year IRR'!B29+'30 Year IRR'!C29+'30 Year IRR'!D29+12*(Numbers!$E$8+Numbers!$E$9)*(1+Numbers!$B$30)^('30 Year IRR'!A29-1)+12*(1-Numbers!$B$33)*Numbers!$B$16*(1+Numbers!$B$30)^('30 Year IRR'!A29-1)+12*Numbers!$B$33*Numbers!$B$19*(1+Numbers!$B$30)^('30 Year IRR'!A29-1))</f>
        <v>11580.962972393976</v>
      </c>
      <c r="F29" s="16">
        <f>Numbers!$B$35*('30 Year IRR'!E29+'30 Year IRR'!C29-IF(A29&lt;27.5,Numbers!$E$14,0))</f>
        <v>3125.1093800317076</v>
      </c>
      <c r="G29" s="16">
        <f t="shared" si="0"/>
        <v>8455.8535923622694</v>
      </c>
    </row>
    <row r="30" spans="1:7" x14ac:dyDescent="0.25">
      <c r="A30" s="17">
        <v>27</v>
      </c>
      <c r="B30" s="16">
        <f>IF(A30&lt;=Numbers!$B$5,Numbers!$E$4*(12*'30 Year IRR'!A30-1/(1+Numbers!$B$4/12)^(Numbers!$B$5*12-12*'30 Year IRR'!A30)*(1-1/(1+Numbers!$B$4/12)^(12*'30 Year IRR'!A30))/(Numbers!$B$4/12))-Numbers!$E$4*(12*'30 Year IRR'!A29-1/(1+Numbers!$B$4/12)^(Numbers!$B$5*12-12*'30 Year IRR'!A29)*(1-1/(1+Numbers!$B$4/12)^(12*'30 Year IRR'!A29))/(Numbers!$B$4/12)),0)</f>
        <v>528.64694675382634</v>
      </c>
      <c r="C30" s="16">
        <f>IF(A30&lt;=Numbers!$B$5,Numbers!$E$4*(1/(1+Numbers!$B$4/12))^(12*Numbers!$B$5-12*'30 Year IRR'!A30)*(1-1/(1+Numbers!$B$4/12)^(12*'30 Year IRR'!A30))/(Numbers!$B$4/12)-Numbers!$E$4*(1/(1+Numbers!$B$4/12))^(12*Numbers!$B$5-12*('30 Year IRR'!A30-1))*(1-1/(1+Numbers!$B$4/12)^(12*('30 Year IRR'!A30-1)))/(Numbers!$B$4/12),0)</f>
        <v>3528.64642009003</v>
      </c>
      <c r="D30" s="16">
        <f>IF(SUM($C$3:C29)/Numbers!$E$3&lt;Numbers!$B$10,12*Numbers!$E$7,0)</f>
        <v>0</v>
      </c>
      <c r="E30" s="16">
        <f>12*Numbers!$B$15*(1-Numbers!$B$33)*(1+Numbers!$B$30)^('30 Year IRR'!A30-1)-('30 Year IRR'!B30+'30 Year IRR'!C30+'30 Year IRR'!D30+12*(Numbers!$E$8+Numbers!$E$9)*(1+Numbers!$B$30)^('30 Year IRR'!A30-1)+12*(1-Numbers!$B$33)*Numbers!$B$16*(1+Numbers!$B$30)^('30 Year IRR'!A30-1)+12*Numbers!$B$33*Numbers!$B$19*(1+Numbers!$B$30)^('30 Year IRR'!A30-1))</f>
        <v>11893.728099178703</v>
      </c>
      <c r="F30" s="16">
        <f>Numbers!$B$35*('30 Year IRR'!E30+'30 Year IRR'!C30-IF(A30&lt;27.5,Numbers!$E$14,0))</f>
        <v>3237.4118116353652</v>
      </c>
      <c r="G30" s="16">
        <f t="shared" si="0"/>
        <v>8656.3162875433372</v>
      </c>
    </row>
    <row r="31" spans="1:7" x14ac:dyDescent="0.25">
      <c r="A31" s="17">
        <v>28</v>
      </c>
      <c r="B31" s="16">
        <f>IF(A31&lt;=Numbers!$B$5,Numbers!$E$4*(12*'30 Year IRR'!A31-1/(1+Numbers!$B$4/12)^(Numbers!$B$5*12-12*'30 Year IRR'!A31)*(1-1/(1+Numbers!$B$4/12)^(12*'30 Year IRR'!A31))/(Numbers!$B$4/12))-Numbers!$E$4*(12*'30 Year IRR'!A30-1/(1+Numbers!$B$4/12)^(Numbers!$B$5*12-12*'30 Year IRR'!A30)*(1-1/(1+Numbers!$B$4/12)^(12*'30 Year IRR'!A30))/(Numbers!$B$4/12)),0)</f>
        <v>386.71413334607496</v>
      </c>
      <c r="C31" s="16">
        <f>IF(A31&lt;=Numbers!$B$5,Numbers!$E$4*(1/(1+Numbers!$B$4/12))^(12*Numbers!$B$5-12*'30 Year IRR'!A31)*(1-1/(1+Numbers!$B$4/12)^(12*'30 Year IRR'!A31))/(Numbers!$B$4/12)-Numbers!$E$4*(1/(1+Numbers!$B$4/12))^(12*Numbers!$B$5-12*('30 Year IRR'!A31-1))*(1-1/(1+Numbers!$B$4/12)^(12*('30 Year IRR'!A31-1)))/(Numbers!$B$4/12),0)</f>
        <v>3670.5792334977523</v>
      </c>
      <c r="D31" s="16">
        <f>IF(SUM($C$3:C30)/Numbers!$E$3&lt;Numbers!$B$10,12*Numbers!$E$7,0)</f>
        <v>0</v>
      </c>
      <c r="E31" s="16">
        <f>12*Numbers!$B$15*(1-Numbers!$B$33)*(1+Numbers!$B$30)^('30 Year IRR'!A31-1)-('30 Year IRR'!B31+'30 Year IRR'!C31+'30 Year IRR'!D31+12*(Numbers!$E$8+Numbers!$E$9)*(1+Numbers!$B$30)^('30 Year IRR'!A31-1)+12*(1-Numbers!$B$33)*Numbers!$B$16*(1+Numbers!$B$30)^('30 Year IRR'!A31-1)+12*Numbers!$B$33*Numbers!$B$19*(1+Numbers!$B$30)^('30 Year IRR'!A31-1))</f>
        <v>12212.74852849918</v>
      </c>
      <c r="F31" s="16">
        <f>Numbers!$B$35*('30 Year IRR'!E31+'30 Year IRR'!C31-IF(A31&lt;27.5,Numbers!$E$14,0))</f>
        <v>3970.831940499233</v>
      </c>
      <c r="G31" s="16">
        <f t="shared" si="0"/>
        <v>8241.9165879999473</v>
      </c>
    </row>
    <row r="32" spans="1:7" x14ac:dyDescent="0.25">
      <c r="A32" s="17">
        <v>29</v>
      </c>
      <c r="B32" s="16">
        <f>IF(A32&lt;=Numbers!$B$5,Numbers!$E$4*(12*'30 Year IRR'!A32-1/(1+Numbers!$B$4/12)^(Numbers!$B$5*12-12*'30 Year IRR'!A32)*(1-1/(1+Numbers!$B$4/12)^(12*'30 Year IRR'!A32))/(Numbers!$B$4/12))-Numbers!$E$4*(12*'30 Year IRR'!A31-1/(1+Numbers!$B$4/12)^(Numbers!$B$5*12-12*'30 Year IRR'!A31)*(1-1/(1+Numbers!$B$4/12)^(12*'30 Year IRR'!A31))/(Numbers!$B$4/12)),0)</f>
        <v>239.07235363130894</v>
      </c>
      <c r="C32" s="16">
        <f>IF(A32&lt;=Numbers!$B$5,Numbers!$E$4*(1/(1+Numbers!$B$4/12))^(12*Numbers!$B$5-12*'30 Year IRR'!A32)*(1-1/(1+Numbers!$B$4/12)^(12*'30 Year IRR'!A32))/(Numbers!$B$4/12)-Numbers!$E$4*(1/(1+Numbers!$B$4/12))^(12*Numbers!$B$5-12*('30 Year IRR'!A32-1))*(1-1/(1+Numbers!$B$4/12)^(12*('30 Year IRR'!A32-1)))/(Numbers!$B$4/12),0)</f>
        <v>3818.2210132125474</v>
      </c>
      <c r="D32" s="16">
        <f>IF(SUM($C$3:C31)/Numbers!$E$3&lt;Numbers!$B$10,12*Numbers!$E$7,0)</f>
        <v>0</v>
      </c>
      <c r="E32" s="16">
        <f>12*Numbers!$B$15*(1-Numbers!$B$33)*(1+Numbers!$B$30)^('30 Year IRR'!A32-1)-('30 Year IRR'!B32+'30 Year IRR'!C32+'30 Year IRR'!D32+12*(Numbers!$E$8+Numbers!$E$9)*(1+Numbers!$B$30)^('30 Year IRR'!A32-1)+12*(1-Numbers!$B$33)*Numbers!$B$16*(1+Numbers!$B$30)^('30 Year IRR'!A32-1)+12*Numbers!$B$33*Numbers!$B$19*(1+Numbers!$B$30)^('30 Year IRR'!A32-1))</f>
        <v>12538.149366406014</v>
      </c>
      <c r="F32" s="16">
        <f>Numbers!$B$35*('30 Year IRR'!E32+'30 Year IRR'!C32-IF(A32&lt;27.5,Numbers!$E$14,0))</f>
        <v>4089.0925949046405</v>
      </c>
      <c r="G32" s="16">
        <f t="shared" si="0"/>
        <v>8449.0567715013749</v>
      </c>
    </row>
    <row r="33" spans="1:7" x14ac:dyDescent="0.25">
      <c r="A33" s="17">
        <v>30</v>
      </c>
      <c r="B33" s="16">
        <f>IF(A33&lt;=Numbers!$B$5,Numbers!$E$4*(12*'30 Year IRR'!A33-1/(1+Numbers!$B$4/12)^(Numbers!$B$5*12-12*'30 Year IRR'!A33)*(1-1/(1+Numbers!$B$4/12)^(12*'30 Year IRR'!A33))/(Numbers!$B$4/12))-Numbers!$E$4*(12*'30 Year IRR'!A32-1/(1+Numbers!$B$4/12)^(Numbers!$B$5*12-12*'30 Year IRR'!A32)*(1-1/(1+Numbers!$B$4/12)^(12*'30 Year IRR'!A32))/(Numbers!$B$4/12)),0)</f>
        <v>85.491975746910612</v>
      </c>
      <c r="C33" s="16">
        <f>IF(A33&lt;=Numbers!$B$5,Numbers!$E$4*(1/(1+Numbers!$B$4/12))^(12*Numbers!$B$5-12*'30 Year IRR'!A33)*(1-1/(1+Numbers!$B$4/12)^(12*'30 Year IRR'!A33))/(Numbers!$B$4/12)-Numbers!$E$4*(1/(1+Numbers!$B$4/12))^(12*Numbers!$B$5-12*('30 Year IRR'!A33-1))*(1-1/(1+Numbers!$B$4/12)^(12*('30 Year IRR'!A33-1)))/(Numbers!$B$4/12),0)</f>
        <v>3971.8013910968875</v>
      </c>
      <c r="D33" s="16">
        <f>IF(SUM($C$3:C32)/Numbers!$E$3&lt;Numbers!$B$10,12*Numbers!$E$7,0)</f>
        <v>0</v>
      </c>
      <c r="E33" s="16">
        <f>12*Numbers!$B$15*(1-Numbers!$B$33)*(1+Numbers!$B$30)^('30 Year IRR'!A33-1)-('30 Year IRR'!B33+'30 Year IRR'!C33+'30 Year IRR'!D33+12*(Numbers!$E$8+Numbers!$E$9)*(1+Numbers!$B$30)^('30 Year IRR'!A33-1)+12*(1-Numbers!$B$33)*Numbers!$B$16*(1+Numbers!$B$30)^('30 Year IRR'!A33-1)+12*Numbers!$B$33*Numbers!$B$19*(1+Numbers!$B$30)^('30 Year IRR'!A33-1))</f>
        <v>12870.058221071069</v>
      </c>
      <c r="F33" s="16">
        <f>Numbers!$B$35*('30 Year IRR'!E33+'30 Year IRR'!C33-IF(A33&lt;27.5,Numbers!$E$14,0))</f>
        <v>4210.4649030419896</v>
      </c>
      <c r="G33" s="16">
        <f>E33-F33+D42</f>
        <v>156710.21047647207</v>
      </c>
    </row>
    <row r="34" spans="1:7" x14ac:dyDescent="0.25">
      <c r="A34" s="16"/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  <c r="C36" s="18" t="s">
        <v>53</v>
      </c>
      <c r="D36" s="16">
        <f>(1+Numbers!$B$31)^30*(Numbers!B3+Numbers!B8)</f>
        <v>194180.99769517273</v>
      </c>
      <c r="F36" s="1" t="s">
        <v>63</v>
      </c>
      <c r="G36" s="16">
        <f>SUM(G4:G33)-D42</f>
        <v>193405.81907466517</v>
      </c>
    </row>
    <row r="37" spans="1:7" x14ac:dyDescent="0.25">
      <c r="C37" s="1" t="s">
        <v>61</v>
      </c>
      <c r="D37" s="16">
        <f>(1-Numbers!B23)*'30 Year IRR'!D36-Numbers!B24</f>
        <v>179530.13783346236</v>
      </c>
    </row>
    <row r="38" spans="1:7" x14ac:dyDescent="0.25">
      <c r="C38" s="1" t="s">
        <v>56</v>
      </c>
      <c r="D38" s="16">
        <f>Numbers!E13-27.5*Numbers!E14</f>
        <v>15000</v>
      </c>
    </row>
    <row r="39" spans="1:7" x14ac:dyDescent="0.25">
      <c r="C39" s="18" t="s">
        <v>57</v>
      </c>
      <c r="D39" s="16">
        <f>(D37-Numbers!E13)*Numbers!B25</f>
        <v>14479.520675019354</v>
      </c>
    </row>
    <row r="40" spans="1:7" x14ac:dyDescent="0.25">
      <c r="C40" s="18" t="s">
        <v>60</v>
      </c>
      <c r="D40" s="16">
        <f>Numbers!B26*(Numbers!E13-'30 Year IRR'!D38)</f>
        <v>17000</v>
      </c>
    </row>
    <row r="41" spans="1:7" x14ac:dyDescent="0.25">
      <c r="C41" s="18" t="s">
        <v>58</v>
      </c>
      <c r="D41" s="16">
        <f>Numbers!E3-SUM(C4:C33)</f>
        <v>0</v>
      </c>
    </row>
    <row r="42" spans="1:7" x14ac:dyDescent="0.25">
      <c r="C42" s="18" t="s">
        <v>59</v>
      </c>
      <c r="D42" s="16">
        <f>D37-D39-D40-D41</f>
        <v>148050.617158443</v>
      </c>
    </row>
    <row r="44" spans="1:7" x14ac:dyDescent="0.25">
      <c r="C44" s="18" t="s">
        <v>62</v>
      </c>
      <c r="D44" s="19">
        <f>IRR(G3:G33)</f>
        <v>0.34981010475576801</v>
      </c>
    </row>
  </sheetData>
  <printOptions gridLines="1"/>
  <pageMargins left="0.7" right="0.7" top="0.75" bottom="0.75" header="0.3" footer="0.3"/>
  <pageSetup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topLeftCell="A16" workbookViewId="0">
      <selection activeCell="E5" sqref="E5"/>
    </sheetView>
  </sheetViews>
  <sheetFormatPr defaultRowHeight="15" x14ac:dyDescent="0.25"/>
  <cols>
    <col min="1" max="1" width="9.28515625" customWidth="1"/>
    <col min="2" max="4" width="16.7109375" customWidth="1"/>
    <col min="5" max="5" width="18.28515625" customWidth="1"/>
    <col min="6" max="7" width="16.7109375" customWidth="1"/>
    <col min="8" max="8" width="27.7109375" customWidth="1"/>
    <col min="9" max="9" width="27.42578125" customWidth="1"/>
  </cols>
  <sheetData>
    <row r="1" spans="1:9" x14ac:dyDescent="0.25">
      <c r="A1" s="1" t="s">
        <v>48</v>
      </c>
      <c r="B1" s="1" t="s">
        <v>54</v>
      </c>
      <c r="C1" s="1" t="s">
        <v>52</v>
      </c>
      <c r="D1" s="1" t="s">
        <v>55</v>
      </c>
      <c r="E1" s="1" t="s">
        <v>50</v>
      </c>
      <c r="F1" s="1" t="s">
        <v>51</v>
      </c>
      <c r="G1" s="1" t="s">
        <v>49</v>
      </c>
    </row>
    <row r="3" spans="1:9" x14ac:dyDescent="0.25">
      <c r="A3" s="17">
        <v>0</v>
      </c>
      <c r="B3" s="16"/>
      <c r="C3" s="16"/>
      <c r="D3" s="16"/>
      <c r="E3" s="16"/>
      <c r="F3" s="16"/>
      <c r="G3" s="16">
        <f>-Numbers!E23</f>
        <v>-11750.000000000004</v>
      </c>
      <c r="I3" s="16"/>
    </row>
    <row r="4" spans="1:9" x14ac:dyDescent="0.25">
      <c r="A4" s="17">
        <v>1</v>
      </c>
      <c r="B4" s="16">
        <f>IF(A4&lt;=Numbers!$B$5,Numbers!$E$4*(12*'30 Year IRR'!A4-1/(1+Numbers!$B$4/12)^(Numbers!$B$5*12-12*'30 Year IRR'!A4)*(1-1/(1+Numbers!$B$4/12)^(12*'30 Year IRR'!A4))/(Numbers!$B$4/12))-Numbers!$E$4*(12*'30 Year IRR'!A3-1/(1+Numbers!$B$4/12)^(Numbers!$B$5*12-12*'30 Year IRR'!A3)*(1-1/(1+Numbers!$B$4/12)^(12*'30 Year IRR'!A3))/(Numbers!$B$4/12)),0)</f>
        <v>2791.62426352701</v>
      </c>
      <c r="C4" s="16">
        <f>IF(A4&lt;=Numbers!$B$5,Numbers!$E$4*(1/(1+Numbers!$B$4/12))^(12*Numbers!$B$5-12*'30 Year IRR'!A4)*(1-1/(1+Numbers!$B$4/12)^(12*'30 Year IRR'!A4))/(Numbers!$B$4/12)-Numbers!$E$4*(1/(1+Numbers!$B$4/12))^(12*Numbers!$B$5-12*('30 Year IRR'!A4-1))*(1-1/(1+Numbers!$B$4/12)^(12*('30 Year IRR'!A4-1)))/(Numbers!$B$4/12),0)</f>
        <v>1265.6691033169284</v>
      </c>
      <c r="D4" s="16">
        <f>IF(SUM($C$3:C3)/Numbers!$E$3&lt;Numbers!$B$10,12*Numbers!$E$7,0)</f>
        <v>320.62499999999994</v>
      </c>
      <c r="E4" s="16">
        <f>12*Numbers!$B$15*(1-Numbers!$B$33)*(1+Numbers!$B$30)^('30 Year IRR'!A4-1)-('30 Year IRR'!B4+'30 Year IRR'!C4+'30 Year IRR'!D4+12*(Numbers!$E$8+Numbers!$E$9)*(1+Numbers!$B$30)^('30 Year IRR'!A4-1)+12*(1-Numbers!$B$33)*Numbers!$B$16*(1+Numbers!$B$30)^('30 Year IRR'!A4-1)+12*Numbers!$B$33*Numbers!$B$19*(1+Numbers!$B$30)^('30 Year IRR'!A4-1))-Numbers!B11*Numbers!B15</f>
        <v>2754.0816331560618</v>
      </c>
      <c r="F4" s="16">
        <f>Numbers!$B$35*('30 Year IRR'!E4+'30 Year IRR'!C4-IF(A4&lt;27.5,Numbers!$E$14,0))</f>
        <v>386.75586593642936</v>
      </c>
      <c r="G4" s="16">
        <f>E4-F4</f>
        <v>2367.3257672196323</v>
      </c>
      <c r="H4" s="16"/>
    </row>
    <row r="5" spans="1:9" x14ac:dyDescent="0.25">
      <c r="A5" s="17">
        <v>2</v>
      </c>
      <c r="B5" s="16">
        <f>IF(A5&lt;=Numbers!$B$5,Numbers!$E$4*(12*'30 Year IRR'!A5-1/(1+Numbers!$B$4/12)^(Numbers!$B$5*12-12*'30 Year IRR'!A5)*(1-1/(1+Numbers!$B$4/12)^(12*'30 Year IRR'!A5))/(Numbers!$B$4/12))-Numbers!$E$4*(12*'30 Year IRR'!A4-1/(1+Numbers!$B$4/12)^(Numbers!$B$5*12-12*'30 Year IRR'!A4)*(1-1/(1+Numbers!$B$4/12)^(12*'30 Year IRR'!A4))/(Numbers!$B$4/12)),0)</f>
        <v>2740.7152306315047</v>
      </c>
      <c r="C5" s="16">
        <f>IF(A5&lt;=Numbers!$B$5,Numbers!$E$4*(1/(1+Numbers!$B$4/12))^(12*Numbers!$B$5-12*'30 Year IRR'!A5)*(1-1/(1+Numbers!$B$4/12)^(12*'30 Year IRR'!A5))/(Numbers!$B$4/12)-Numbers!$E$4*(1/(1+Numbers!$B$4/12))^(12*Numbers!$B$5-12*('30 Year IRR'!A5-1))*(1-1/(1+Numbers!$B$4/12)^(12*('30 Year IRR'!A5-1)))/(Numbers!$B$4/12),0)</f>
        <v>1316.5781362124328</v>
      </c>
      <c r="D5" s="16">
        <f>IF(SUM($C$3:C4)/Numbers!$E$3&lt;Numbers!$B$10,12*Numbers!$E$7,0)</f>
        <v>320.62499999999994</v>
      </c>
      <c r="E5" s="16">
        <f>12*Numbers!$B$15*(1-Numbers!$B$33)*(1+Numbers!$B$30)^('30 Year IRR'!A5-1)-('30 Year IRR'!B5+'30 Year IRR'!C5+'30 Year IRR'!D5+12*(Numbers!$E$8+Numbers!$E$9)*(1+Numbers!$B$30)^('30 Year IRR'!A5-1)+12*(1-Numbers!$B$33)*Numbers!$B$16*(1+Numbers!$B$30)^('30 Year IRR'!A5-1)+12*Numbers!$B$33*Numbers!$B$19*(1+Numbers!$B$30)^('30 Year IRR'!A5-1))</f>
        <v>5344.721633156063</v>
      </c>
      <c r="F5" s="16">
        <f>Numbers!$B$35*('30 Year IRR'!E5+'30 Year IRR'!C5-IF(A5&lt;27.5,Numbers!$E$14,0))</f>
        <v>1047.1431241603059</v>
      </c>
      <c r="G5" s="16">
        <f t="shared" ref="G5:G22" si="0">E5-F5</f>
        <v>4297.5785089957571</v>
      </c>
      <c r="H5" s="16"/>
    </row>
    <row r="6" spans="1:9" x14ac:dyDescent="0.25">
      <c r="A6" s="17">
        <v>3</v>
      </c>
      <c r="B6" s="16">
        <f>IF(A6&lt;=Numbers!$B$5,Numbers!$E$4*(12*'30 Year IRR'!A6-1/(1+Numbers!$B$4/12)^(Numbers!$B$5*12-12*'30 Year IRR'!A6)*(1-1/(1+Numbers!$B$4/12)^(12*'30 Year IRR'!A6))/(Numbers!$B$4/12))-Numbers!$E$4*(12*'30 Year IRR'!A5-1/(1+Numbers!$B$4/12)^(Numbers!$B$5*12-12*'30 Year IRR'!A5)*(1-1/(1+Numbers!$B$4/12)^(12*'30 Year IRR'!A5))/(Numbers!$B$4/12)),0)</f>
        <v>2687.7584827182409</v>
      </c>
      <c r="C6" s="16">
        <f>IF(A6&lt;=Numbers!$B$5,Numbers!$E$4*(1/(1+Numbers!$B$4/12))^(12*Numbers!$B$5-12*'30 Year IRR'!A6)*(1-1/(1+Numbers!$B$4/12)^(12*'30 Year IRR'!A6))/(Numbers!$B$4/12)-Numbers!$E$4*(1/(1+Numbers!$B$4/12))^(12*Numbers!$B$5-12*('30 Year IRR'!A6-1))*(1-1/(1+Numbers!$B$4/12)^(12*('30 Year IRR'!A6-1)))/(Numbers!$B$4/12),0)</f>
        <v>1369.5348841256937</v>
      </c>
      <c r="D6" s="16">
        <f>IF(SUM($C$3:C5)/Numbers!$E$3&lt;Numbers!$B$10,12*Numbers!$E$7,0)</f>
        <v>320.62499999999994</v>
      </c>
      <c r="E6" s="16">
        <f>12*Numbers!$B$15*(1-Numbers!$B$33)*(1+Numbers!$B$30)^('30 Year IRR'!A6-1)-('30 Year IRR'!B6+'30 Year IRR'!C6+'30 Year IRR'!D6+12*(Numbers!$E$8+Numbers!$E$9)*(1+Numbers!$B$30)^('30 Year IRR'!A6-1)+12*(1-Numbers!$B$33)*Numbers!$B$16*(1+Numbers!$B$30)^('30 Year IRR'!A6-1)+12*Numbers!$B$33*Numbers!$B$19*(1+Numbers!$B$30)^('30 Year IRR'!A6-1))</f>
        <v>5539.1744331560667</v>
      </c>
      <c r="F6" s="16">
        <f>Numbers!$B$35*('30 Year IRR'!E6+'30 Year IRR'!C6-IF(A6&lt;27.5,Numbers!$E$14,0))</f>
        <v>1108.9955111386221</v>
      </c>
      <c r="G6" s="16">
        <f t="shared" si="0"/>
        <v>4430.1789220174451</v>
      </c>
    </row>
    <row r="7" spans="1:9" x14ac:dyDescent="0.25">
      <c r="A7" s="17">
        <v>4</v>
      </c>
      <c r="B7" s="16">
        <f>IF(A7&lt;=Numbers!$B$5,Numbers!$E$4*(12*'30 Year IRR'!A7-1/(1+Numbers!$B$4/12)^(Numbers!$B$5*12-12*'30 Year IRR'!A7)*(1-1/(1+Numbers!$B$4/12)^(12*'30 Year IRR'!A7))/(Numbers!$B$4/12))-Numbers!$E$4*(12*'30 Year IRR'!A6-1/(1+Numbers!$B$4/12)^(Numbers!$B$5*12-12*'30 Year IRR'!A6)*(1-1/(1+Numbers!$B$4/12)^(12*'30 Year IRR'!A6))/(Numbers!$B$4/12)),0)</f>
        <v>2632.6716545063646</v>
      </c>
      <c r="C7" s="16">
        <f>IF(A7&lt;=Numbers!$B$5,Numbers!$E$4*(1/(1+Numbers!$B$4/12))^(12*Numbers!$B$5-12*'30 Year IRR'!A7)*(1-1/(1+Numbers!$B$4/12)^(12*'30 Year IRR'!A7))/(Numbers!$B$4/12)-Numbers!$E$4*(1/(1+Numbers!$B$4/12))^(12*Numbers!$B$5-12*('30 Year IRR'!A7-1))*(1-1/(1+Numbers!$B$4/12)^(12*('30 Year IRR'!A7-1)))/(Numbers!$B$4/12),0)</f>
        <v>1424.6217123375714</v>
      </c>
      <c r="D7" s="16">
        <f>IF(SUM($C$3:C6)/Numbers!$E$3&lt;Numbers!$B$10,12*Numbers!$E$7,0)</f>
        <v>320.62499999999994</v>
      </c>
      <c r="E7" s="16">
        <f>12*Numbers!$B$15*(1-Numbers!$B$33)*(1+Numbers!$B$30)^('30 Year IRR'!A7-1)-('30 Year IRR'!B7+'30 Year IRR'!C7+'30 Year IRR'!D7+12*(Numbers!$E$8+Numbers!$E$9)*(1+Numbers!$B$30)^('30 Year IRR'!A7-1)+12*(1-Numbers!$B$33)*Numbers!$B$16*(1+Numbers!$B$30)^('30 Year IRR'!A7-1)+12*Numbers!$B$33*Numbers!$B$19*(1+Numbers!$B$30)^('30 Year IRR'!A7-1))</f>
        <v>5737.5162891560622</v>
      </c>
      <c r="F7" s="16">
        <f>Numbers!$B$35*('30 Year IRR'!E7+'30 Year IRR'!C7-IF(A7&lt;27.5,Numbers!$E$14,0))</f>
        <v>1172.3526821915902</v>
      </c>
      <c r="G7" s="16">
        <f t="shared" si="0"/>
        <v>4565.1636069644719</v>
      </c>
    </row>
    <row r="8" spans="1:9" x14ac:dyDescent="0.25">
      <c r="A8" s="17">
        <v>5</v>
      </c>
      <c r="B8" s="16">
        <f>IF(A8&lt;=Numbers!$B$5,Numbers!$E$4*(12*'30 Year IRR'!A8-1/(1+Numbers!$B$4/12)^(Numbers!$B$5*12-12*'30 Year IRR'!A8)*(1-1/(1+Numbers!$B$4/12)^(12*'30 Year IRR'!A8))/(Numbers!$B$4/12))-Numbers!$E$4*(12*'30 Year IRR'!A7-1/(1+Numbers!$B$4/12)^(Numbers!$B$5*12-12*'30 Year IRR'!A7)*(1-1/(1+Numbers!$B$4/12)^(12*'30 Year IRR'!A7))/(Numbers!$B$4/12)),0)</f>
        <v>2575.3690677346713</v>
      </c>
      <c r="C8" s="16">
        <f>IF(A8&lt;=Numbers!$B$5,Numbers!$E$4*(1/(1+Numbers!$B$4/12))^(12*Numbers!$B$5-12*'30 Year IRR'!A8)*(1-1/(1+Numbers!$B$4/12)^(12*'30 Year IRR'!A8))/(Numbers!$B$4/12)-Numbers!$E$4*(1/(1+Numbers!$B$4/12))^(12*Numbers!$B$5-12*('30 Year IRR'!A8-1))*(1-1/(1+Numbers!$B$4/12)^(12*('30 Year IRR'!A8-1)))/(Numbers!$B$4/12),0)</f>
        <v>1481.9242991092606</v>
      </c>
      <c r="D8" s="16">
        <f>IF(SUM($C$3:C7)/Numbers!$E$3&lt;Numbers!$B$10,12*Numbers!$E$7,0)</f>
        <v>320.62499999999994</v>
      </c>
      <c r="E8" s="16">
        <f>12*Numbers!$B$15*(1-Numbers!$B$33)*(1+Numbers!$B$30)^('30 Year IRR'!A8-1)-('30 Year IRR'!B8+'30 Year IRR'!C8+'30 Year IRR'!D8+12*(Numbers!$E$8+Numbers!$E$9)*(1+Numbers!$B$30)^('30 Year IRR'!A8-1)+12*(1-Numbers!$B$33)*Numbers!$B$16*(1+Numbers!$B$30)^('30 Year IRR'!A8-1)+12*Numbers!$B$33*Numbers!$B$19*(1+Numbers!$B$30)^('30 Year IRR'!A8-1))</f>
        <v>5939.8249822760681</v>
      </c>
      <c r="F8" s="16">
        <f>Numbers!$B$35*('30 Year IRR'!E8+'30 Year IRR'!C8-IF(A8&lt;27.5,Numbers!$E$14,0))</f>
        <v>1237.2555021645139</v>
      </c>
      <c r="G8" s="16">
        <f t="shared" si="0"/>
        <v>4702.5694801115542</v>
      </c>
    </row>
    <row r="9" spans="1:9" x14ac:dyDescent="0.25">
      <c r="A9" s="17">
        <v>6</v>
      </c>
      <c r="B9" s="16">
        <f>IF(A9&lt;=Numbers!$B$5,Numbers!$E$4*(12*'30 Year IRR'!A9-1/(1+Numbers!$B$4/12)^(Numbers!$B$5*12-12*'30 Year IRR'!A9)*(1-1/(1+Numbers!$B$4/12)^(12*'30 Year IRR'!A9))/(Numbers!$B$4/12))-Numbers!$E$4*(12*'30 Year IRR'!A8-1/(1+Numbers!$B$4/12)^(Numbers!$B$5*12-12*'30 Year IRR'!A8)*(1-1/(1+Numbers!$B$4/12)^(12*'30 Year IRR'!A8))/(Numbers!$B$4/12)),0)</f>
        <v>2515.7615979036655</v>
      </c>
      <c r="C9" s="16">
        <f>IF(A9&lt;=Numbers!$B$5,Numbers!$E$4*(1/(1+Numbers!$B$4/12))^(12*Numbers!$B$5-12*'30 Year IRR'!A9)*(1-1/(1+Numbers!$B$4/12)^(12*'30 Year IRR'!A9))/(Numbers!$B$4/12)-Numbers!$E$4*(1/(1+Numbers!$B$4/12))^(12*Numbers!$B$5-12*('30 Year IRR'!A9-1))*(1-1/(1+Numbers!$B$4/12)^(12*('30 Year IRR'!A9-1)))/(Numbers!$B$4/12),0)</f>
        <v>1541.5317689402618</v>
      </c>
      <c r="D9" s="16">
        <f>IF(SUM($C$3:C8)/Numbers!$E$3&lt;Numbers!$B$10,12*Numbers!$E$7,0)</f>
        <v>320.62499999999994</v>
      </c>
      <c r="E9" s="16">
        <f>12*Numbers!$B$15*(1-Numbers!$B$33)*(1+Numbers!$B$30)^('30 Year IRR'!A9-1)-('30 Year IRR'!B9+'30 Year IRR'!C9+'30 Year IRR'!D9+12*(Numbers!$E$8+Numbers!$E$9)*(1+Numbers!$B$30)^('30 Year IRR'!A9-1)+12*(1-Numbers!$B$33)*Numbers!$B$16*(1+Numbers!$B$30)^('30 Year IRR'!A9-1)+12*Numbers!$B$33*Numbers!$B$19*(1+Numbers!$B$30)^('30 Year IRR'!A9-1))</f>
        <v>6146.179849258473</v>
      </c>
      <c r="F9" s="16">
        <f>Numbers!$B$35*('30 Year IRR'!E9+'30 Year IRR'!C9-IF(A9&lt;27.5,Numbers!$E$14,0))</f>
        <v>1303.7460863678657</v>
      </c>
      <c r="G9" s="16">
        <f t="shared" si="0"/>
        <v>4842.4337628906069</v>
      </c>
    </row>
    <row r="10" spans="1:9" x14ac:dyDescent="0.25">
      <c r="A10" s="17">
        <v>7</v>
      </c>
      <c r="B10" s="16">
        <f>IF(A10&lt;=Numbers!$B$5,Numbers!$E$4*(12*'30 Year IRR'!A10-1/(1+Numbers!$B$4/12)^(Numbers!$B$5*12-12*'30 Year IRR'!A10)*(1-1/(1+Numbers!$B$4/12)^(12*'30 Year IRR'!A10))/(Numbers!$B$4/12))-Numbers!$E$4*(12*'30 Year IRR'!A9-1/(1+Numbers!$B$4/12)^(Numbers!$B$5*12-12*'30 Year IRR'!A9)*(1-1/(1+Numbers!$B$4/12)^(12*'30 Year IRR'!A9))/(Numbers!$B$4/12)),0)</f>
        <v>2453.7565356573068</v>
      </c>
      <c r="C10" s="16">
        <f>IF(A10&lt;=Numbers!$B$5,Numbers!$E$4*(1/(1+Numbers!$B$4/12))^(12*Numbers!$B$5-12*'30 Year IRR'!A10)*(1-1/(1+Numbers!$B$4/12)^(12*'30 Year IRR'!A10))/(Numbers!$B$4/12)-Numbers!$E$4*(1/(1+Numbers!$B$4/12))^(12*Numbers!$B$5-12*('30 Year IRR'!A10-1))*(1-1/(1+Numbers!$B$4/12)^(12*('30 Year IRR'!A10-1)))/(Numbers!$B$4/12),0)</f>
        <v>1603.5368311866241</v>
      </c>
      <c r="D10" s="16">
        <f>IF(SUM($C$3:C9)/Numbers!$E$3&lt;Numbers!$B$10,12*Numbers!$E$7,0)</f>
        <v>320.62499999999994</v>
      </c>
      <c r="E10" s="16">
        <f>12*Numbers!$B$15*(1-Numbers!$B$33)*(1+Numbers!$B$30)^('30 Year IRR'!A10-1)-('30 Year IRR'!B10+'30 Year IRR'!C10+'30 Year IRR'!D10+12*(Numbers!$E$8+Numbers!$E$9)*(1+Numbers!$B$30)^('30 Year IRR'!A10-1)+12*(1-Numbers!$B$33)*Numbers!$B$16*(1+Numbers!$B$30)^('30 Year IRR'!A10-1)+12*Numbers!$B$33*Numbers!$B$19*(1+Numbers!$B$30)^('30 Year IRR'!A10-1))</f>
        <v>6356.6618135805165</v>
      </c>
      <c r="F10" s="16">
        <f>Numbers!$B$35*('30 Year IRR'!E10+'30 Year IRR'!C10-IF(A10&lt;27.5,Numbers!$E$14,0))</f>
        <v>1371.8678430099671</v>
      </c>
      <c r="G10" s="16">
        <f t="shared" si="0"/>
        <v>4984.7939705705494</v>
      </c>
    </row>
    <row r="11" spans="1:9" x14ac:dyDescent="0.25">
      <c r="A11" s="17">
        <v>8</v>
      </c>
      <c r="B11" s="16">
        <f>IF(A11&lt;=Numbers!$B$5,Numbers!$E$4*(12*'30 Year IRR'!A11-1/(1+Numbers!$B$4/12)^(Numbers!$B$5*12-12*'30 Year IRR'!A11)*(1-1/(1+Numbers!$B$4/12)^(12*'30 Year IRR'!A11))/(Numbers!$B$4/12))-Numbers!$E$4*(12*'30 Year IRR'!A10-1/(1+Numbers!$B$4/12)^(Numbers!$B$5*12-12*'30 Year IRR'!A10)*(1-1/(1+Numbers!$B$4/12)^(12*'30 Year IRR'!A10))/(Numbers!$B$4/12)),0)</f>
        <v>2389.257442589369</v>
      </c>
      <c r="C11" s="16">
        <f>IF(A11&lt;=Numbers!$B$5,Numbers!$E$4*(1/(1+Numbers!$B$4/12))^(12*Numbers!$B$5-12*'30 Year IRR'!A11)*(1-1/(1+Numbers!$B$4/12)^(12*'30 Year IRR'!A11))/(Numbers!$B$4/12)-Numbers!$E$4*(1/(1+Numbers!$B$4/12))^(12*Numbers!$B$5-12*('30 Year IRR'!A11-1))*(1-1/(1+Numbers!$B$4/12)^(12*('30 Year IRR'!A11-1)))/(Numbers!$B$4/12),0)</f>
        <v>1668.0359242545601</v>
      </c>
      <c r="D11" s="16">
        <f>IF(SUM($C$3:C10)/Numbers!$E$3&lt;Numbers!$B$10,12*Numbers!$E$7,0)</f>
        <v>320.62499999999994</v>
      </c>
      <c r="E11" s="16">
        <f>12*Numbers!$B$15*(1-Numbers!$B$33)*(1+Numbers!$B$30)^('30 Year IRR'!A11-1)-('30 Year IRR'!B11+'30 Year IRR'!C11+'30 Year IRR'!D11+12*(Numbers!$E$8+Numbers!$E$9)*(1+Numbers!$B$30)^('30 Year IRR'!A11-1)+12*(1-Numbers!$B$33)*Numbers!$B$16*(1+Numbers!$B$30)^('30 Year IRR'!A11-1)+12*Numbers!$B$33*Numbers!$B$19*(1+Numbers!$B$30)^('30 Year IRR'!A11-1))</f>
        <v>6571.353417189006</v>
      </c>
      <c r="F11" s="16">
        <f>Numbers!$B$35*('30 Year IRR'!E11+'30 Year IRR'!C11-IF(A11&lt;27.5,Numbers!$E$14,0))</f>
        <v>1441.6655171790735</v>
      </c>
      <c r="G11" s="16">
        <f t="shared" si="0"/>
        <v>5129.6879000099325</v>
      </c>
    </row>
    <row r="12" spans="1:9" x14ac:dyDescent="0.25">
      <c r="A12" s="17">
        <v>9</v>
      </c>
      <c r="B12" s="16">
        <f>IF(A12&lt;=Numbers!$B$5,Numbers!$E$4*(12*'30 Year IRR'!A12-1/(1+Numbers!$B$4/12)^(Numbers!$B$5*12-12*'30 Year IRR'!A12)*(1-1/(1+Numbers!$B$4/12)^(12*'30 Year IRR'!A12))/(Numbers!$B$4/12))-Numbers!$E$4*(12*'30 Year IRR'!A11-1/(1+Numbers!$B$4/12)^(Numbers!$B$5*12-12*'30 Year IRR'!A11)*(1-1/(1+Numbers!$B$4/12)^(12*'30 Year IRR'!A11))/(Numbers!$B$4/12)),0)</f>
        <v>2322.164001249741</v>
      </c>
      <c r="C12" s="16">
        <f>IF(A12&lt;=Numbers!$B$5,Numbers!$E$4*(1/(1+Numbers!$B$4/12))^(12*Numbers!$B$5-12*'30 Year IRR'!A12)*(1-1/(1+Numbers!$B$4/12)^(12*'30 Year IRR'!A12))/(Numbers!$B$4/12)-Numbers!$E$4*(1/(1+Numbers!$B$4/12))^(12*Numbers!$B$5-12*('30 Year IRR'!A12-1))*(1-1/(1+Numbers!$B$4/12)^(12*('30 Year IRR'!A12-1)))/(Numbers!$B$4/12),0)</f>
        <v>1735.1293655941881</v>
      </c>
      <c r="D12" s="16">
        <f>IF(SUM($C$3:C11)/Numbers!$E$3&lt;Numbers!$B$10,12*Numbers!$E$7,0)</f>
        <v>320.62499999999994</v>
      </c>
      <c r="E12" s="16">
        <f>12*Numbers!$B$15*(1-Numbers!$B$33)*(1+Numbers!$B$30)^('30 Year IRR'!A12-1)-('30 Year IRR'!B12+'30 Year IRR'!C12+'30 Year IRR'!D12+12*(Numbers!$E$8+Numbers!$E$9)*(1+Numbers!$B$30)^('30 Year IRR'!A12-1)+12*(1-Numbers!$B$33)*Numbers!$B$16*(1+Numbers!$B$30)^('30 Year IRR'!A12-1)+12*Numbers!$B$33*Numbers!$B$19*(1+Numbers!$B$30)^('30 Year IRR'!A12-1))</f>
        <v>6790.3388528696651</v>
      </c>
      <c r="F12" s="16">
        <f>Numbers!$B$35*('30 Year IRR'!E12+'30 Year IRR'!C12-IF(A12&lt;27.5,Numbers!$E$14,0))</f>
        <v>1513.1852364341453</v>
      </c>
      <c r="G12" s="16">
        <f t="shared" si="0"/>
        <v>5277.1536164355202</v>
      </c>
    </row>
    <row r="13" spans="1:9" x14ac:dyDescent="0.25">
      <c r="A13" s="17">
        <v>10</v>
      </c>
      <c r="B13" s="16">
        <f>IF(A13&lt;=Numbers!$B$5,Numbers!$E$4*(12*'30 Year IRR'!A13-1/(1+Numbers!$B$4/12)^(Numbers!$B$5*12-12*'30 Year IRR'!A13)*(1-1/(1+Numbers!$B$4/12)^(12*'30 Year IRR'!A13))/(Numbers!$B$4/12))-Numbers!$E$4*(12*'30 Year IRR'!A12-1/(1+Numbers!$B$4/12)^(Numbers!$B$5*12-12*'30 Year IRR'!A12)*(1-1/(1+Numbers!$B$4/12)^(12*'30 Year IRR'!A12))/(Numbers!$B$4/12)),0)</f>
        <v>2252.371859117553</v>
      </c>
      <c r="C13" s="16">
        <f>IF(A13&lt;=Numbers!$B$5,Numbers!$E$4*(1/(1+Numbers!$B$4/12))^(12*Numbers!$B$5-12*'30 Year IRR'!A13)*(1-1/(1+Numbers!$B$4/12)^(12*'30 Year IRR'!A13))/(Numbers!$B$4/12)-Numbers!$E$4*(1/(1+Numbers!$B$4/12))^(12*Numbers!$B$5-12*('30 Year IRR'!A13-1))*(1-1/(1+Numbers!$B$4/12)^(12*('30 Year IRR'!A13-1)))/(Numbers!$B$4/12),0)</f>
        <v>1804.9215077263634</v>
      </c>
      <c r="D13" s="16">
        <f>IF(SUM($C$3:C12)/Numbers!$E$3&lt;Numbers!$B$10,12*Numbers!$E$7,0)</f>
        <v>320.62499999999994</v>
      </c>
      <c r="E13" s="16">
        <f>12*Numbers!$B$15*(1-Numbers!$B$33)*(1+Numbers!$B$30)^('30 Year IRR'!A13-1)-('30 Year IRR'!B13+'30 Year IRR'!C13+'30 Year IRR'!D13+12*(Numbers!$E$8+Numbers!$E$9)*(1+Numbers!$B$30)^('30 Year IRR'!A13-1)+12*(1-Numbers!$B$33)*Numbers!$B$16*(1+Numbers!$B$30)^('30 Year IRR'!A13-1)+12*Numbers!$B$33*Numbers!$B$19*(1+Numbers!$B$30)^('30 Year IRR'!A13-1))</f>
        <v>7013.7039972639486</v>
      </c>
      <c r="F13" s="16">
        <f>Numbers!$B$35*('30 Year IRR'!E13+'30 Year IRR'!C13-IF(A13&lt;27.5,Numbers!$E$14,0))</f>
        <v>1586.47455806576</v>
      </c>
      <c r="G13" s="16">
        <f t="shared" si="0"/>
        <v>5427.2294391981886</v>
      </c>
    </row>
    <row r="14" spans="1:9" x14ac:dyDescent="0.25">
      <c r="A14" s="17">
        <v>11</v>
      </c>
      <c r="B14" s="16">
        <f>IF(A14&lt;=Numbers!$B$5,Numbers!$E$4*(12*'30 Year IRR'!A14-1/(1+Numbers!$B$4/12)^(Numbers!$B$5*12-12*'30 Year IRR'!A14)*(1-1/(1+Numbers!$B$4/12)^(12*'30 Year IRR'!A14))/(Numbers!$B$4/12))-Numbers!$E$4*(12*'30 Year IRR'!A13-1/(1+Numbers!$B$4/12)^(Numbers!$B$5*12-12*'30 Year IRR'!A13)*(1-1/(1+Numbers!$B$4/12)^(12*'30 Year IRR'!A13))/(Numbers!$B$4/12)),0)</f>
        <v>2179.7724662984874</v>
      </c>
      <c r="C14" s="16">
        <f>IF(A14&lt;=Numbers!$B$5,Numbers!$E$4*(1/(1+Numbers!$B$4/12))^(12*Numbers!$B$5-12*'30 Year IRR'!A14)*(1-1/(1+Numbers!$B$4/12)^(12*'30 Year IRR'!A14))/(Numbers!$B$4/12)-Numbers!$E$4*(1/(1+Numbers!$B$4/12))^(12*Numbers!$B$5-12*('30 Year IRR'!A14-1))*(1-1/(1+Numbers!$B$4/12)^(12*('30 Year IRR'!A14-1)))/(Numbers!$B$4/12),0)</f>
        <v>1877.520900545429</v>
      </c>
      <c r="D14" s="16">
        <f>IF(SUM($C$3:C13)/Numbers!$E$3&lt;Numbers!$B$10,12*Numbers!$E$7,0)</f>
        <v>0</v>
      </c>
      <c r="E14" s="16">
        <f>12*Numbers!$B$15*(1-Numbers!$B$33)*(1+Numbers!$B$30)^('30 Year IRR'!A14-1)-('30 Year IRR'!B14+'30 Year IRR'!C14+'30 Year IRR'!D14+12*(Numbers!$E$8+Numbers!$E$9)*(1+Numbers!$B$30)^('30 Year IRR'!A14-1)+12*(1-Numbers!$B$33)*Numbers!$B$16*(1+Numbers!$B$30)^('30 Year IRR'!A14-1)+12*Numbers!$B$33*Numbers!$B$19*(1+Numbers!$B$30)^('30 Year IRR'!A14-1))</f>
        <v>7562.1614445461091</v>
      </c>
      <c r="F14" s="16">
        <f>Numbers!$B$35*('30 Year IRR'!E14+'30 Year IRR'!C14-IF(A14&lt;27.5,Numbers!$E$14,0))</f>
        <v>1741.7387680910665</v>
      </c>
      <c r="G14" s="16">
        <f t="shared" si="0"/>
        <v>5820.4226764550422</v>
      </c>
    </row>
    <row r="15" spans="1:9" x14ac:dyDescent="0.25">
      <c r="A15" s="17">
        <v>12</v>
      </c>
      <c r="B15" s="16">
        <f>IF(A15&lt;=Numbers!$B$5,Numbers!$E$4*(12*'30 Year IRR'!A15-1/(1+Numbers!$B$4/12)^(Numbers!$B$5*12-12*'30 Year IRR'!A15)*(1-1/(1+Numbers!$B$4/12)^(12*'30 Year IRR'!A15))/(Numbers!$B$4/12))-Numbers!$E$4*(12*'30 Year IRR'!A14-1/(1+Numbers!$B$4/12)^(Numbers!$B$5*12-12*'30 Year IRR'!A14)*(1-1/(1+Numbers!$B$4/12)^(12*'30 Year IRR'!A14))/(Numbers!$B$4/12)),0)</f>
        <v>2104.2529066937095</v>
      </c>
      <c r="C15" s="16">
        <f>IF(A15&lt;=Numbers!$B$5,Numbers!$E$4*(1/(1+Numbers!$B$4/12))^(12*Numbers!$B$5-12*'30 Year IRR'!A15)*(1-1/(1+Numbers!$B$4/12)^(12*'30 Year IRR'!A15))/(Numbers!$B$4/12)-Numbers!$E$4*(1/(1+Numbers!$B$4/12))^(12*Numbers!$B$5-12*('30 Year IRR'!A15-1))*(1-1/(1+Numbers!$B$4/12)^(12*('30 Year IRR'!A15-1)))/(Numbers!$B$4/12),0)</f>
        <v>1953.0404601502123</v>
      </c>
      <c r="D15" s="16">
        <f>IF(SUM($C$3:C14)/Numbers!$E$3&lt;Numbers!$B$10,12*Numbers!$E$7,0)</f>
        <v>0</v>
      </c>
      <c r="E15" s="16">
        <f>12*Numbers!$B$15*(1-Numbers!$B$33)*(1+Numbers!$B$30)^('30 Year IRR'!A15-1)-('30 Year IRR'!B15+'30 Year IRR'!C15+'30 Year IRR'!D15+12*(Numbers!$E$8+Numbers!$E$9)*(1+Numbers!$B$30)^('30 Year IRR'!A15-1)+12*(1-Numbers!$B$33)*Numbers!$B$16*(1+Numbers!$B$30)^('30 Year IRR'!A15-1)+12*Numbers!$B$33*Numbers!$B$19*(1+Numbers!$B$30)^('30 Year IRR'!A15-1))</f>
        <v>7794.5505407739001</v>
      </c>
      <c r="F15" s="16">
        <f>Numbers!$B$35*('30 Year IRR'!E15+'30 Year IRR'!C15-IF(A15&lt;27.5,Numbers!$E$14,0))</f>
        <v>1818.7159320492101</v>
      </c>
      <c r="G15" s="16">
        <f t="shared" si="0"/>
        <v>5975.83460872469</v>
      </c>
    </row>
    <row r="16" spans="1:9" x14ac:dyDescent="0.25">
      <c r="A16" s="17">
        <v>13</v>
      </c>
      <c r="B16" s="16">
        <f>IF(A16&lt;=Numbers!$B$5,Numbers!$E$4*(12*'30 Year IRR'!A16-1/(1+Numbers!$B$4/12)^(Numbers!$B$5*12-12*'30 Year IRR'!A16)*(1-1/(1+Numbers!$B$4/12)^(12*'30 Year IRR'!A16))/(Numbers!$B$4/12))-Numbers!$E$4*(12*'30 Year IRR'!A15-1/(1+Numbers!$B$4/12)^(Numbers!$B$5*12-12*'30 Year IRR'!A15)*(1-1/(1+Numbers!$B$4/12)^(12*'30 Year IRR'!A15))/(Numbers!$B$4/12)),0)</f>
        <v>2025.6957223779209</v>
      </c>
      <c r="C16" s="16">
        <f>IF(A16&lt;=Numbers!$B$5,Numbers!$E$4*(1/(1+Numbers!$B$4/12))^(12*Numbers!$B$5-12*'30 Year IRR'!A16)*(1-1/(1+Numbers!$B$4/12)^(12*'30 Year IRR'!A16))/(Numbers!$B$4/12)-Numbers!$E$4*(1/(1+Numbers!$B$4/12))^(12*Numbers!$B$5-12*('30 Year IRR'!A16-1))*(1-1/(1+Numbers!$B$4/12)^(12*('30 Year IRR'!A16-1)))/(Numbers!$B$4/12),0)</f>
        <v>2031.5976444659937</v>
      </c>
      <c r="D16" s="16">
        <f>IF(SUM($C$3:C15)/Numbers!$E$3&lt;Numbers!$B$10,12*Numbers!$E$7,0)</f>
        <v>0</v>
      </c>
      <c r="E16" s="16">
        <f>12*Numbers!$B$15*(1-Numbers!$B$33)*(1+Numbers!$B$30)^('30 Year IRR'!A16-1)-('30 Year IRR'!B16+'30 Year IRR'!C16+'30 Year IRR'!D16+12*(Numbers!$E$8+Numbers!$E$9)*(1+Numbers!$B$30)^('30 Year IRR'!A16-1)+12*(1-Numbers!$B$33)*Numbers!$B$16*(1+Numbers!$B$30)^('30 Year IRR'!A16-1)+12*Numbers!$B$33*Numbers!$B$19*(1+Numbers!$B$30)^('30 Year IRR'!A16-1))</f>
        <v>8031.5874189262668</v>
      </c>
      <c r="F16" s="16">
        <f>Numbers!$B$35*('30 Year IRR'!E16+'30 Year IRR'!C16-IF(A16&lt;27.5,Numbers!$E$14,0))</f>
        <v>1897.6144476662471</v>
      </c>
      <c r="G16" s="16">
        <f t="shared" si="0"/>
        <v>6133.9729712600201</v>
      </c>
    </row>
    <row r="17" spans="1:7" x14ac:dyDescent="0.25">
      <c r="A17" s="17">
        <v>14</v>
      </c>
      <c r="B17" s="16">
        <f>IF(A17&lt;=Numbers!$B$5,Numbers!$E$4*(12*'30 Year IRR'!A17-1/(1+Numbers!$B$4/12)^(Numbers!$B$5*12-12*'30 Year IRR'!A17)*(1-1/(1+Numbers!$B$4/12)^(12*'30 Year IRR'!A17))/(Numbers!$B$4/12))-Numbers!$E$4*(12*'30 Year IRR'!A16-1/(1+Numbers!$B$4/12)^(Numbers!$B$5*12-12*'30 Year IRR'!A16)*(1-1/(1+Numbers!$B$4/12)^(12*'30 Year IRR'!A16))/(Numbers!$B$4/12)),0)</f>
        <v>1943.9787309134699</v>
      </c>
      <c r="C17" s="16">
        <f>IF(A17&lt;=Numbers!$B$5,Numbers!$E$4*(1/(1+Numbers!$B$4/12))^(12*Numbers!$B$5-12*'30 Year IRR'!A17)*(1-1/(1+Numbers!$B$4/12)^(12*'30 Year IRR'!A17))/(Numbers!$B$4/12)-Numbers!$E$4*(1/(1+Numbers!$B$4/12))^(12*Numbers!$B$5-12*('30 Year IRR'!A17-1))*(1-1/(1+Numbers!$B$4/12)^(12*('30 Year IRR'!A17-1)))/(Numbers!$B$4/12),0)</f>
        <v>2113.3146359304337</v>
      </c>
      <c r="D17" s="16">
        <f>IF(SUM($C$3:C16)/Numbers!$E$3&lt;Numbers!$B$10,12*Numbers!$E$7,0)</f>
        <v>0</v>
      </c>
      <c r="E17" s="16">
        <f>12*Numbers!$B$15*(1-Numbers!$B$33)*(1+Numbers!$B$30)^('30 Year IRR'!A17-1)-('30 Year IRR'!B17+'30 Year IRR'!C17+'30 Year IRR'!D17+12*(Numbers!$E$8+Numbers!$E$9)*(1+Numbers!$B$30)^('30 Year IRR'!A17-1)+12*(1-Numbers!$B$33)*Numbers!$B$16*(1+Numbers!$B$30)^('30 Year IRR'!A17-1)+12*Numbers!$B$33*Numbers!$B$19*(1+Numbers!$B$30)^('30 Year IRR'!A17-1))</f>
        <v>8273.3650346416835</v>
      </c>
      <c r="F17" s="16">
        <f>Numbers!$B$35*('30 Year IRR'!E17+'30 Year IRR'!C17-IF(A17&lt;27.5,Numbers!$E$14,0))</f>
        <v>1978.4880994612113</v>
      </c>
      <c r="G17" s="16">
        <f t="shared" si="0"/>
        <v>6294.8769351804722</v>
      </c>
    </row>
    <row r="18" spans="1:7" x14ac:dyDescent="0.25">
      <c r="A18" s="17">
        <v>15</v>
      </c>
      <c r="B18" s="16">
        <f>IF(A18&lt;=Numbers!$B$5,Numbers!$E$4*(12*'30 Year IRR'!A18-1/(1+Numbers!$B$4/12)^(Numbers!$B$5*12-12*'30 Year IRR'!A18)*(1-1/(1+Numbers!$B$4/12)^(12*'30 Year IRR'!A18))/(Numbers!$B$4/12))-Numbers!$E$4*(12*'30 Year IRR'!A17-1/(1+Numbers!$B$4/12)^(Numbers!$B$5*12-12*'30 Year IRR'!A17)*(1-1/(1+Numbers!$B$4/12)^(12*'30 Year IRR'!A17))/(Numbers!$B$4/12)),0)</f>
        <v>1858.9748353161121</v>
      </c>
      <c r="C18" s="16">
        <f>IF(A18&lt;=Numbers!$B$5,Numbers!$E$4*(1/(1+Numbers!$B$4/12))^(12*Numbers!$B$5-12*'30 Year IRR'!A18)*(1-1/(1+Numbers!$B$4/12)^(12*'30 Year IRR'!A18))/(Numbers!$B$4/12)-Numbers!$E$4*(1/(1+Numbers!$B$4/12))^(12*Numbers!$B$5-12*('30 Year IRR'!A18-1))*(1-1/(1+Numbers!$B$4/12)^(12*('30 Year IRR'!A18-1)))/(Numbers!$B$4/12),0)</f>
        <v>2198.3185315278024</v>
      </c>
      <c r="D18" s="16">
        <f>IF(SUM($C$3:C17)/Numbers!$E$3&lt;Numbers!$B$10,12*Numbers!$E$7,0)</f>
        <v>0</v>
      </c>
      <c r="E18" s="16">
        <f>12*Numbers!$B$15*(1-Numbers!$B$33)*(1+Numbers!$B$30)^('30 Year IRR'!A18-1)-('30 Year IRR'!B18+'30 Year IRR'!C18+'30 Year IRR'!D18+12*(Numbers!$E$8+Numbers!$E$9)*(1+Numbers!$B$30)^('30 Year IRR'!A18-1)+12*(1-Numbers!$B$33)*Numbers!$B$16*(1+Numbers!$B$30)^('30 Year IRR'!A18-1)+12*Numbers!$B$33*Numbers!$B$19*(1+Numbers!$B$30)^('30 Year IRR'!A18-1))</f>
        <v>8519.978202671382</v>
      </c>
      <c r="F18" s="16">
        <f>Numbers!$B$35*('30 Year IRR'!E18+'30 Year IRR'!C18-IF(A18&lt;27.5,Numbers!$E$14,0))</f>
        <v>2061.3923653679781</v>
      </c>
      <c r="G18" s="16">
        <f t="shared" si="0"/>
        <v>6458.5858373034043</v>
      </c>
    </row>
    <row r="19" spans="1:7" x14ac:dyDescent="0.25">
      <c r="A19" s="17">
        <v>16</v>
      </c>
      <c r="B19" s="16">
        <f>IF(A19&lt;=Numbers!$B$5,Numbers!$E$4*(12*'30 Year IRR'!A19-1/(1+Numbers!$B$4/12)^(Numbers!$B$5*12-12*'30 Year IRR'!A19)*(1-1/(1+Numbers!$B$4/12)^(12*'30 Year IRR'!A19))/(Numbers!$B$4/12))-Numbers!$E$4*(12*'30 Year IRR'!A18-1/(1+Numbers!$B$4/12)^(Numbers!$B$5*12-12*'30 Year IRR'!A18)*(1-1/(1+Numbers!$B$4/12)^(12*'30 Year IRR'!A18))/(Numbers!$B$4/12)),0)</f>
        <v>1770.5518263771373</v>
      </c>
      <c r="C19" s="16">
        <f>IF(A19&lt;=Numbers!$B$5,Numbers!$E$4*(1/(1+Numbers!$B$4/12))^(12*Numbers!$B$5-12*'30 Year IRR'!A19)*(1-1/(1+Numbers!$B$4/12)^(12*'30 Year IRR'!A19))/(Numbers!$B$4/12)-Numbers!$E$4*(1/(1+Numbers!$B$4/12))^(12*Numbers!$B$5-12*('30 Year IRR'!A19-1))*(1-1/(1+Numbers!$B$4/12)^(12*('30 Year IRR'!A19-1)))/(Numbers!$B$4/12),0)</f>
        <v>2286.741540466759</v>
      </c>
      <c r="D19" s="16">
        <f>IF(SUM($C$3:C18)/Numbers!$E$3&lt;Numbers!$B$10,12*Numbers!$E$7,0)</f>
        <v>0</v>
      </c>
      <c r="E19" s="16">
        <f>12*Numbers!$B$15*(1-Numbers!$B$33)*(1+Numbers!$B$30)^('30 Year IRR'!A19-1)-('30 Year IRR'!B19+'30 Year IRR'!C19+'30 Year IRR'!D19+12*(Numbers!$E$8+Numbers!$E$9)*(1+Numbers!$B$30)^('30 Year IRR'!A19-1)+12*(1-Numbers!$B$33)*Numbers!$B$16*(1+Numbers!$B$30)^('30 Year IRR'!A19-1)+12*Numbers!$B$33*Numbers!$B$19*(1+Numbers!$B$30)^('30 Year IRR'!A19-1))</f>
        <v>8771.5236340617012</v>
      </c>
      <c r="F19" s="16">
        <f>Numbers!$B$35*('30 Year IRR'!E19+'30 Year IRR'!C19-IF(A19&lt;27.5,Numbers!$E$14,0))</f>
        <v>2146.384475450297</v>
      </c>
      <c r="G19" s="16">
        <f t="shared" si="0"/>
        <v>6625.1391586114041</v>
      </c>
    </row>
    <row r="20" spans="1:7" x14ac:dyDescent="0.25">
      <c r="A20" s="17">
        <v>17</v>
      </c>
      <c r="B20" s="16">
        <f>IF(A20&lt;=Numbers!$B$5,Numbers!$E$4*(12*'30 Year IRR'!A20-1/(1+Numbers!$B$4/12)^(Numbers!$B$5*12-12*'30 Year IRR'!A20)*(1-1/(1+Numbers!$B$4/12)^(12*'30 Year IRR'!A20))/(Numbers!$B$4/12))-Numbers!$E$4*(12*'30 Year IRR'!A19-1/(1+Numbers!$B$4/12)^(Numbers!$B$5*12-12*'30 Year IRR'!A19)*(1-1/(1+Numbers!$B$4/12)^(12*'30 Year IRR'!A19))/(Numbers!$B$4/12)),0)</f>
        <v>1678.572177034308</v>
      </c>
      <c r="C20" s="16">
        <f>IF(A20&lt;=Numbers!$B$5,Numbers!$E$4*(1/(1+Numbers!$B$4/12))^(12*Numbers!$B$5-12*'30 Year IRR'!A20)*(1-1/(1+Numbers!$B$4/12)^(12*'30 Year IRR'!A20))/(Numbers!$B$4/12)-Numbers!$E$4*(1/(1+Numbers!$B$4/12))^(12*Numbers!$B$5-12*('30 Year IRR'!A20-1))*(1-1/(1+Numbers!$B$4/12)^(12*('30 Year IRR'!A20-1)))/(Numbers!$B$4/12),0)</f>
        <v>2378.7211898096029</v>
      </c>
      <c r="D20" s="16">
        <f>IF(SUM($C$3:C19)/Numbers!$E$3&lt;Numbers!$B$10,12*Numbers!$E$7,0)</f>
        <v>0</v>
      </c>
      <c r="E20" s="16">
        <f>12*Numbers!$B$15*(1-Numbers!$B$33)*(1+Numbers!$B$30)^('30 Year IRR'!A20-1)-('30 Year IRR'!B20+'30 Year IRR'!C20+'30 Year IRR'!D20+12*(Numbers!$E$8+Numbers!$E$9)*(1+Numbers!$B$30)^('30 Year IRR'!A20-1)+12*(1-Numbers!$B$33)*Numbers!$B$16*(1+Numbers!$B$30)^('30 Year IRR'!A20-1)+12*Numbers!$B$33*Numbers!$B$19*(1+Numbers!$B$30)^('30 Year IRR'!A20-1))</f>
        <v>9028.0999740798034</v>
      </c>
      <c r="F20" s="16">
        <f>Numbers!$B$35*('30 Year IRR'!E20+'30 Year IRR'!C20-IF(A20&lt;27.5,Numbers!$E$14,0))</f>
        <v>2233.5234727905336</v>
      </c>
      <c r="G20" s="16">
        <f t="shared" si="0"/>
        <v>6794.5765012892698</v>
      </c>
    </row>
    <row r="21" spans="1:7" x14ac:dyDescent="0.25">
      <c r="A21" s="17">
        <v>18</v>
      </c>
      <c r="B21" s="16">
        <f>IF(A21&lt;=Numbers!$B$5,Numbers!$E$4*(12*'30 Year IRR'!A21-1/(1+Numbers!$B$4/12)^(Numbers!$B$5*12-12*'30 Year IRR'!A21)*(1-1/(1+Numbers!$B$4/12)^(12*'30 Year IRR'!A21))/(Numbers!$B$4/12))-Numbers!$E$4*(12*'30 Year IRR'!A20-1/(1+Numbers!$B$4/12)^(Numbers!$B$5*12-12*'30 Year IRR'!A20)*(1-1/(1+Numbers!$B$4/12)^(12*'30 Year IRR'!A20))/(Numbers!$B$4/12)),0)</f>
        <v>1582.8928284716239</v>
      </c>
      <c r="C21" s="16">
        <f>IF(A21&lt;=Numbers!$B$5,Numbers!$E$4*(1/(1+Numbers!$B$4/12))^(12*Numbers!$B$5-12*'30 Year IRR'!A21)*(1-1/(1+Numbers!$B$4/12)^(12*'30 Year IRR'!A21))/(Numbers!$B$4/12)-Numbers!$E$4*(1/(1+Numbers!$B$4/12))^(12*Numbers!$B$5-12*('30 Year IRR'!A21-1))*(1-1/(1+Numbers!$B$4/12)^(12*('30 Year IRR'!A21-1)))/(Numbers!$B$4/12),0)</f>
        <v>2474.4005383722651</v>
      </c>
      <c r="D21" s="16">
        <f>IF(SUM($C$3:C20)/Numbers!$E$3&lt;Numbers!$B$10,12*Numbers!$E$7,0)</f>
        <v>0</v>
      </c>
      <c r="E21" s="16">
        <f>12*Numbers!$B$15*(1-Numbers!$B$33)*(1+Numbers!$B$30)^('30 Year IRR'!A21-1)-('30 Year IRR'!B21+'30 Year IRR'!C21+'30 Year IRR'!D21+12*(Numbers!$E$8+Numbers!$E$9)*(1+Numbers!$B$30)^('30 Year IRR'!A21-1)+12*(1-Numbers!$B$33)*Numbers!$B$16*(1+Numbers!$B$30)^('30 Year IRR'!A21-1)+12*Numbers!$B$33*Numbers!$B$19*(1+Numbers!$B$30)^('30 Year IRR'!A21-1))</f>
        <v>9289.8078408983001</v>
      </c>
      <c r="F21" s="16">
        <f>Numbers!$B$35*('30 Year IRR'!E21+'30 Year IRR'!C21-IF(A21&lt;27.5,Numbers!$E$14,0))</f>
        <v>2322.8702766358233</v>
      </c>
      <c r="G21" s="16">
        <f t="shared" si="0"/>
        <v>6966.9375642624764</v>
      </c>
    </row>
    <row r="22" spans="1:7" x14ac:dyDescent="0.25">
      <c r="A22" s="17">
        <v>19</v>
      </c>
      <c r="B22" s="16">
        <f>IF(A22&lt;=Numbers!$B$5,Numbers!$E$4*(12*'30 Year IRR'!A22-1/(1+Numbers!$B$4/12)^(Numbers!$B$5*12-12*'30 Year IRR'!A22)*(1-1/(1+Numbers!$B$4/12)^(12*'30 Year IRR'!A22))/(Numbers!$B$4/12))-Numbers!$E$4*(12*'30 Year IRR'!A21-1/(1+Numbers!$B$4/12)^(Numbers!$B$5*12-12*'30 Year IRR'!A21)*(1-1/(1+Numbers!$B$4/12)^(12*'30 Year IRR'!A21))/(Numbers!$B$4/12)),0)</f>
        <v>1483.3649676156201</v>
      </c>
      <c r="C22" s="16">
        <f>IF(A22&lt;=Numbers!$B$5,Numbers!$E$4*(1/(1+Numbers!$B$4/12))^(12*Numbers!$B$5-12*'30 Year IRR'!A22)*(1-1/(1+Numbers!$B$4/12)^(12*'30 Year IRR'!A22))/(Numbers!$B$4/12)-Numbers!$E$4*(1/(1+Numbers!$B$4/12))^(12*Numbers!$B$5-12*('30 Year IRR'!A22-1))*(1-1/(1+Numbers!$B$4/12)^(12*('30 Year IRR'!A22-1)))/(Numbers!$B$4/12),0)</f>
        <v>2573.9283992282799</v>
      </c>
      <c r="D22" s="16">
        <f>IF(SUM($C$3:C21)/Numbers!$E$3&lt;Numbers!$B$10,12*Numbers!$E$7,0)</f>
        <v>0</v>
      </c>
      <c r="E22" s="16">
        <f>12*Numbers!$B$15*(1-Numbers!$B$33)*(1+Numbers!$B$30)^('30 Year IRR'!A22-1)-('30 Year IRR'!B22+'30 Year IRR'!C22+'30 Year IRR'!D22+12*(Numbers!$E$8+Numbers!$E$9)*(1+Numbers!$B$30)^('30 Year IRR'!A22-1)+12*(1-Numbers!$B$33)*Numbers!$B$16*(1+Numbers!$B$30)^('30 Year IRR'!A22-1)+12*Numbers!$B$33*Numbers!$B$19*(1+Numbers!$B$30)^('30 Year IRR'!A22-1))</f>
        <v>9556.7498650531325</v>
      </c>
      <c r="F22" s="16">
        <f>Numbers!$B$35*('30 Year IRR'!E22+'30 Year IRR'!C22-IF(A22&lt;27.5,Numbers!$E$14,0))</f>
        <v>2414.4877478885351</v>
      </c>
      <c r="G22" s="16">
        <f t="shared" si="0"/>
        <v>7142.2621171645969</v>
      </c>
    </row>
    <row r="23" spans="1:7" x14ac:dyDescent="0.25">
      <c r="A23" s="17">
        <v>20</v>
      </c>
      <c r="B23" s="16">
        <f>IF(A23&lt;=Numbers!$B$5,Numbers!$E$4*(12*'30 Year IRR'!A23-1/(1+Numbers!$B$4/12)^(Numbers!$B$5*12-12*'30 Year IRR'!A23)*(1-1/(1+Numbers!$B$4/12)^(12*'30 Year IRR'!A23))/(Numbers!$B$4/12))-Numbers!$E$4*(12*'30 Year IRR'!A22-1/(1+Numbers!$B$4/12)^(Numbers!$B$5*12-12*'30 Year IRR'!A22)*(1-1/(1+Numbers!$B$4/12)^(12*'30 Year IRR'!A22))/(Numbers!$B$4/12)),0)</f>
        <v>1379.8337956816467</v>
      </c>
      <c r="C23" s="16">
        <f>IF(A23&lt;=Numbers!$B$5,Numbers!$E$4*(1/(1+Numbers!$B$4/12))^(12*Numbers!$B$5-12*'30 Year IRR'!A23)*(1-1/(1+Numbers!$B$4/12)^(12*'30 Year IRR'!A23))/(Numbers!$B$4/12)-Numbers!$E$4*(1/(1+Numbers!$B$4/12))^(12*Numbers!$B$5-12*('30 Year IRR'!A23-1))*(1-1/(1+Numbers!$B$4/12)^(12*('30 Year IRR'!A23-1)))/(Numbers!$B$4/12),0)</f>
        <v>2677.4595711622242</v>
      </c>
      <c r="D23" s="16">
        <f>IF(SUM($C$3:C22)/Numbers!$E$3&lt;Numbers!$B$10,12*Numbers!$E$7,0)</f>
        <v>0</v>
      </c>
      <c r="E23" s="16">
        <f>12*Numbers!$B$15*(1-Numbers!$B$33)*(1+Numbers!$B$30)^('30 Year IRR'!A23-1)-('30 Year IRR'!B23+'30 Year IRR'!C23+'30 Year IRR'!D23+12*(Numbers!$E$8+Numbers!$E$9)*(1+Numbers!$B$30)^('30 Year IRR'!A23-1)+12*(1-Numbers!$B$33)*Numbers!$B$16*(1+Numbers!$B$30)^('30 Year IRR'!A23-1)+12*Numbers!$B$33*Numbers!$B$19*(1+Numbers!$B$30)^('30 Year IRR'!A23-1))</f>
        <v>9829.0307296910996</v>
      </c>
      <c r="F23" s="16">
        <f>Numbers!$B$35*('30 Year IRR'!E23+'30 Year IRR'!C23-IF(A23&lt;27.5,Numbers!$E$14,0))</f>
        <v>2508.4407570315129</v>
      </c>
      <c r="G23" s="16">
        <f>E23-F23+D31</f>
        <v>86830.110673554984</v>
      </c>
    </row>
    <row r="24" spans="1:7" x14ac:dyDescent="0.25">
      <c r="A24" s="17"/>
      <c r="B24" s="16"/>
      <c r="C24" s="16"/>
      <c r="D24" s="16"/>
      <c r="E24" s="16"/>
      <c r="F24" s="16"/>
      <c r="G24" s="16"/>
    </row>
    <row r="25" spans="1:7" x14ac:dyDescent="0.25">
      <c r="A25" s="17"/>
      <c r="B25" s="16"/>
      <c r="C25" s="18" t="s">
        <v>53</v>
      </c>
      <c r="D25" s="16">
        <f>(1+Numbers!$B$31)^20*(Numbers!B3+Numbers!B8)</f>
        <v>144488.89877355305</v>
      </c>
      <c r="F25" s="1" t="s">
        <v>63</v>
      </c>
      <c r="G25" s="16">
        <f>SUM(G4:G23)-D31</f>
        <v>111557.31331732462</v>
      </c>
    </row>
    <row r="26" spans="1:7" x14ac:dyDescent="0.25">
      <c r="A26" s="17"/>
      <c r="B26" s="16"/>
      <c r="C26" s="1" t="s">
        <v>61</v>
      </c>
      <c r="D26" s="16">
        <f>(1-Numbers!B23)*'20 Year IRR'!D25-Numbers!B24</f>
        <v>132819.56484713987</v>
      </c>
    </row>
    <row r="27" spans="1:7" x14ac:dyDescent="0.25">
      <c r="A27" s="17"/>
      <c r="B27" s="16"/>
      <c r="C27" s="1" t="s">
        <v>56</v>
      </c>
      <c r="D27" s="16">
        <f>Numbers!E13-20*Numbers!E14</f>
        <v>33545.454545454551</v>
      </c>
    </row>
    <row r="28" spans="1:7" x14ac:dyDescent="0.25">
      <c r="A28" s="17"/>
      <c r="B28" s="16"/>
      <c r="C28" s="18" t="s">
        <v>57</v>
      </c>
      <c r="D28" s="16">
        <f>(D26-Numbers!E13)*Numbers!B25</f>
        <v>7472.9347270709804</v>
      </c>
    </row>
    <row r="29" spans="1:7" x14ac:dyDescent="0.25">
      <c r="A29" s="17"/>
      <c r="B29" s="16"/>
      <c r="C29" s="18" t="s">
        <v>60</v>
      </c>
      <c r="D29" s="16">
        <f>Numbers!B26*(Numbers!E13-'20 Year IRR'!D27)</f>
        <v>12363.636363636362</v>
      </c>
    </row>
    <row r="30" spans="1:7" x14ac:dyDescent="0.25">
      <c r="A30" s="17"/>
      <c r="B30" s="16"/>
      <c r="C30" s="18" t="s">
        <v>58</v>
      </c>
      <c r="D30" s="16">
        <f>Numbers!E3-SUM(C4:C23)</f>
        <v>33473.473055537113</v>
      </c>
    </row>
    <row r="31" spans="1:7" x14ac:dyDescent="0.25">
      <c r="A31" s="17"/>
      <c r="B31" s="16"/>
      <c r="C31" s="18" t="s">
        <v>59</v>
      </c>
      <c r="D31" s="16">
        <f>D26-D28-D29-D30</f>
        <v>79509.520700895402</v>
      </c>
    </row>
    <row r="32" spans="1:7" x14ac:dyDescent="0.25">
      <c r="A32" s="17"/>
      <c r="B32" s="16"/>
    </row>
    <row r="33" spans="1:7" x14ac:dyDescent="0.25">
      <c r="A33" s="17"/>
      <c r="B33" s="16"/>
      <c r="C33" s="18" t="s">
        <v>62</v>
      </c>
      <c r="D33" s="19">
        <f>IRR(G3:G23)</f>
        <v>0.3528405702346098</v>
      </c>
    </row>
    <row r="34" spans="1:7" x14ac:dyDescent="0.25">
      <c r="A34" s="16"/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</row>
  </sheetData>
  <pageMargins left="0.25" right="0.25" top="0.75" bottom="0.75" header="0.3" footer="0.3"/>
  <pageSetup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topLeftCell="A16" workbookViewId="0">
      <selection activeCell="E5" sqref="E5"/>
    </sheetView>
  </sheetViews>
  <sheetFormatPr defaultRowHeight="15" x14ac:dyDescent="0.25"/>
  <cols>
    <col min="1" max="1" width="9.28515625" customWidth="1"/>
    <col min="2" max="4" width="16.7109375" customWidth="1"/>
    <col min="5" max="5" width="18.28515625" customWidth="1"/>
    <col min="6" max="7" width="16.7109375" customWidth="1"/>
    <col min="8" max="8" width="27.7109375" customWidth="1"/>
    <col min="9" max="9" width="27.42578125" customWidth="1"/>
  </cols>
  <sheetData>
    <row r="1" spans="1:9" x14ac:dyDescent="0.25">
      <c r="A1" s="1" t="s">
        <v>48</v>
      </c>
      <c r="B1" s="1" t="s">
        <v>54</v>
      </c>
      <c r="C1" s="1" t="s">
        <v>52</v>
      </c>
      <c r="D1" s="1" t="s">
        <v>55</v>
      </c>
      <c r="E1" s="1" t="s">
        <v>50</v>
      </c>
      <c r="F1" s="1" t="s">
        <v>51</v>
      </c>
      <c r="G1" s="1" t="s">
        <v>49</v>
      </c>
    </row>
    <row r="3" spans="1:9" x14ac:dyDescent="0.25">
      <c r="A3" s="17">
        <v>0</v>
      </c>
      <c r="B3" s="16"/>
      <c r="C3" s="16"/>
      <c r="D3" s="16"/>
      <c r="E3" s="16"/>
      <c r="F3" s="16"/>
      <c r="G3" s="16">
        <f>-Numbers!E23</f>
        <v>-11750.000000000004</v>
      </c>
      <c r="I3" s="16"/>
    </row>
    <row r="4" spans="1:9" x14ac:dyDescent="0.25">
      <c r="A4" s="17">
        <v>1</v>
      </c>
      <c r="B4" s="16">
        <f>IF(A4&lt;=Numbers!$B$5,Numbers!$E$4*(12*'30 Year IRR'!A4-1/(1+Numbers!$B$4/12)^(Numbers!$B$5*12-12*'30 Year IRR'!A4)*(1-1/(1+Numbers!$B$4/12)^(12*'30 Year IRR'!A4))/(Numbers!$B$4/12))-Numbers!$E$4*(12*'30 Year IRR'!A3-1/(1+Numbers!$B$4/12)^(Numbers!$B$5*12-12*'30 Year IRR'!A3)*(1-1/(1+Numbers!$B$4/12)^(12*'30 Year IRR'!A3))/(Numbers!$B$4/12)),0)</f>
        <v>2791.62426352701</v>
      </c>
      <c r="C4" s="16">
        <f>IF(A4&lt;=Numbers!$B$5,Numbers!$E$4*(1/(1+Numbers!$B$4/12))^(12*Numbers!$B$5-12*'30 Year IRR'!A4)*(1-1/(1+Numbers!$B$4/12)^(12*'30 Year IRR'!A4))/(Numbers!$B$4/12)-Numbers!$E$4*(1/(1+Numbers!$B$4/12))^(12*Numbers!$B$5-12*('30 Year IRR'!A4-1))*(1-1/(1+Numbers!$B$4/12)^(12*('30 Year IRR'!A4-1)))/(Numbers!$B$4/12),0)</f>
        <v>1265.6691033169284</v>
      </c>
      <c r="D4" s="16">
        <f>IF(SUM($C$3:C3)/Numbers!$E$3&lt;Numbers!$B$10,12*Numbers!$E$7,0)</f>
        <v>320.62499999999994</v>
      </c>
      <c r="E4" s="16">
        <f>12*Numbers!$B$15*(1-Numbers!$B$33)*(1+Numbers!$B$30)^('30 Year IRR'!A4-1)-('30 Year IRR'!B4+'30 Year IRR'!C4+'30 Year IRR'!D4+12*(Numbers!$E$8+Numbers!$E$9)*(1+Numbers!$B$30)^('30 Year IRR'!A4-1)+12*(1-Numbers!$B$33)*Numbers!$B$16*(1+Numbers!$B$30)^('30 Year IRR'!A4-1)+12*Numbers!$B$33*Numbers!$B$19*(1+Numbers!$B$30)^('30 Year IRR'!A4-1))-Numbers!B11*Numbers!B15</f>
        <v>2754.0816331560618</v>
      </c>
      <c r="F4" s="16">
        <f>Numbers!$B$35*('30 Year IRR'!E4+'30 Year IRR'!C4-IF(A4&lt;27.5,Numbers!$E$14,0))</f>
        <v>386.75586593642936</v>
      </c>
      <c r="G4" s="16">
        <f>E4-F4</f>
        <v>2367.3257672196323</v>
      </c>
      <c r="H4" s="16"/>
    </row>
    <row r="5" spans="1:9" x14ac:dyDescent="0.25">
      <c r="A5" s="17">
        <v>2</v>
      </c>
      <c r="B5" s="16">
        <f>IF(A5&lt;=Numbers!$B$5,Numbers!$E$4*(12*'30 Year IRR'!A5-1/(1+Numbers!$B$4/12)^(Numbers!$B$5*12-12*'30 Year IRR'!A5)*(1-1/(1+Numbers!$B$4/12)^(12*'30 Year IRR'!A5))/(Numbers!$B$4/12))-Numbers!$E$4*(12*'30 Year IRR'!A4-1/(1+Numbers!$B$4/12)^(Numbers!$B$5*12-12*'30 Year IRR'!A4)*(1-1/(1+Numbers!$B$4/12)^(12*'30 Year IRR'!A4))/(Numbers!$B$4/12)),0)</f>
        <v>2740.7152306315047</v>
      </c>
      <c r="C5" s="16">
        <f>IF(A5&lt;=Numbers!$B$5,Numbers!$E$4*(1/(1+Numbers!$B$4/12))^(12*Numbers!$B$5-12*'30 Year IRR'!A5)*(1-1/(1+Numbers!$B$4/12)^(12*'30 Year IRR'!A5))/(Numbers!$B$4/12)-Numbers!$E$4*(1/(1+Numbers!$B$4/12))^(12*Numbers!$B$5-12*('30 Year IRR'!A5-1))*(1-1/(1+Numbers!$B$4/12)^(12*('30 Year IRR'!A5-1)))/(Numbers!$B$4/12),0)</f>
        <v>1316.5781362124328</v>
      </c>
      <c r="D5" s="16">
        <f>IF(SUM($C$3:C4)/Numbers!$E$3&lt;Numbers!$B$10,12*Numbers!$E$7,0)</f>
        <v>320.62499999999994</v>
      </c>
      <c r="E5" s="16">
        <f>12*Numbers!$B$15*(1-Numbers!$B$33)*(1+Numbers!$B$30)^('30 Year IRR'!A5-1)-('30 Year IRR'!B5+'30 Year IRR'!C5+'30 Year IRR'!D5+12*(Numbers!$E$8+Numbers!$E$9)*(1+Numbers!$B$30)^('30 Year IRR'!A5-1)+12*(1-Numbers!$B$33)*Numbers!$B$16*(1+Numbers!$B$30)^('30 Year IRR'!A5-1)+12*Numbers!$B$33*Numbers!$B$19*(1+Numbers!$B$30)^('30 Year IRR'!A5-1))</f>
        <v>5344.721633156063</v>
      </c>
      <c r="F5" s="16">
        <f>Numbers!$B$35*('30 Year IRR'!E5+'30 Year IRR'!C5-IF(A5&lt;27.5,Numbers!$E$14,0))</f>
        <v>1047.1431241603059</v>
      </c>
      <c r="G5" s="16">
        <f t="shared" ref="G5:G17" si="0">E5-F5</f>
        <v>4297.5785089957571</v>
      </c>
      <c r="H5" s="16"/>
    </row>
    <row r="6" spans="1:9" x14ac:dyDescent="0.25">
      <c r="A6" s="17">
        <v>3</v>
      </c>
      <c r="B6" s="16">
        <f>IF(A6&lt;=Numbers!$B$5,Numbers!$E$4*(12*'30 Year IRR'!A6-1/(1+Numbers!$B$4/12)^(Numbers!$B$5*12-12*'30 Year IRR'!A6)*(1-1/(1+Numbers!$B$4/12)^(12*'30 Year IRR'!A6))/(Numbers!$B$4/12))-Numbers!$E$4*(12*'30 Year IRR'!A5-1/(1+Numbers!$B$4/12)^(Numbers!$B$5*12-12*'30 Year IRR'!A5)*(1-1/(1+Numbers!$B$4/12)^(12*'30 Year IRR'!A5))/(Numbers!$B$4/12)),0)</f>
        <v>2687.7584827182409</v>
      </c>
      <c r="C6" s="16">
        <f>IF(A6&lt;=Numbers!$B$5,Numbers!$E$4*(1/(1+Numbers!$B$4/12))^(12*Numbers!$B$5-12*'30 Year IRR'!A6)*(1-1/(1+Numbers!$B$4/12)^(12*'30 Year IRR'!A6))/(Numbers!$B$4/12)-Numbers!$E$4*(1/(1+Numbers!$B$4/12))^(12*Numbers!$B$5-12*('30 Year IRR'!A6-1))*(1-1/(1+Numbers!$B$4/12)^(12*('30 Year IRR'!A6-1)))/(Numbers!$B$4/12),0)</f>
        <v>1369.5348841256937</v>
      </c>
      <c r="D6" s="16">
        <f>IF(SUM($C$3:C5)/Numbers!$E$3&lt;Numbers!$B$10,12*Numbers!$E$7,0)</f>
        <v>320.62499999999994</v>
      </c>
      <c r="E6" s="16">
        <f>12*Numbers!$B$15*(1-Numbers!$B$33)*(1+Numbers!$B$30)^('30 Year IRR'!A6-1)-('30 Year IRR'!B6+'30 Year IRR'!C6+'30 Year IRR'!D6+12*(Numbers!$E$8+Numbers!$E$9)*(1+Numbers!$B$30)^('30 Year IRR'!A6-1)+12*(1-Numbers!$B$33)*Numbers!$B$16*(1+Numbers!$B$30)^('30 Year IRR'!A6-1)+12*Numbers!$B$33*Numbers!$B$19*(1+Numbers!$B$30)^('30 Year IRR'!A6-1))</f>
        <v>5539.1744331560667</v>
      </c>
      <c r="F6" s="16">
        <f>Numbers!$B$35*('30 Year IRR'!E6+'30 Year IRR'!C6-IF(A6&lt;27.5,Numbers!$E$14,0))</f>
        <v>1108.9955111386221</v>
      </c>
      <c r="G6" s="16">
        <f t="shared" si="0"/>
        <v>4430.1789220174451</v>
      </c>
    </row>
    <row r="7" spans="1:9" x14ac:dyDescent="0.25">
      <c r="A7" s="17">
        <v>4</v>
      </c>
      <c r="B7" s="16">
        <f>IF(A7&lt;=Numbers!$B$5,Numbers!$E$4*(12*'30 Year IRR'!A7-1/(1+Numbers!$B$4/12)^(Numbers!$B$5*12-12*'30 Year IRR'!A7)*(1-1/(1+Numbers!$B$4/12)^(12*'30 Year IRR'!A7))/(Numbers!$B$4/12))-Numbers!$E$4*(12*'30 Year IRR'!A6-1/(1+Numbers!$B$4/12)^(Numbers!$B$5*12-12*'30 Year IRR'!A6)*(1-1/(1+Numbers!$B$4/12)^(12*'30 Year IRR'!A6))/(Numbers!$B$4/12)),0)</f>
        <v>2632.6716545063646</v>
      </c>
      <c r="C7" s="16">
        <f>IF(A7&lt;=Numbers!$B$5,Numbers!$E$4*(1/(1+Numbers!$B$4/12))^(12*Numbers!$B$5-12*'30 Year IRR'!A7)*(1-1/(1+Numbers!$B$4/12)^(12*'30 Year IRR'!A7))/(Numbers!$B$4/12)-Numbers!$E$4*(1/(1+Numbers!$B$4/12))^(12*Numbers!$B$5-12*('30 Year IRR'!A7-1))*(1-1/(1+Numbers!$B$4/12)^(12*('30 Year IRR'!A7-1)))/(Numbers!$B$4/12),0)</f>
        <v>1424.6217123375714</v>
      </c>
      <c r="D7" s="16">
        <f>IF(SUM($C$3:C6)/Numbers!$E$3&lt;Numbers!$B$10,12*Numbers!$E$7,0)</f>
        <v>320.62499999999994</v>
      </c>
      <c r="E7" s="16">
        <f>12*Numbers!$B$15*(1-Numbers!$B$33)*(1+Numbers!$B$30)^('30 Year IRR'!A7-1)-('30 Year IRR'!B7+'30 Year IRR'!C7+'30 Year IRR'!D7+12*(Numbers!$E$8+Numbers!$E$9)*(1+Numbers!$B$30)^('30 Year IRR'!A7-1)+12*(1-Numbers!$B$33)*Numbers!$B$16*(1+Numbers!$B$30)^('30 Year IRR'!A7-1)+12*Numbers!$B$33*Numbers!$B$19*(1+Numbers!$B$30)^('30 Year IRR'!A7-1))</f>
        <v>5737.5162891560622</v>
      </c>
      <c r="F7" s="16">
        <f>Numbers!$B$35*('30 Year IRR'!E7+'30 Year IRR'!C7-IF(A7&lt;27.5,Numbers!$E$14,0))</f>
        <v>1172.3526821915902</v>
      </c>
      <c r="G7" s="16">
        <f t="shared" si="0"/>
        <v>4565.1636069644719</v>
      </c>
    </row>
    <row r="8" spans="1:9" x14ac:dyDescent="0.25">
      <c r="A8" s="17">
        <v>5</v>
      </c>
      <c r="B8" s="16">
        <f>IF(A8&lt;=Numbers!$B$5,Numbers!$E$4*(12*'30 Year IRR'!A8-1/(1+Numbers!$B$4/12)^(Numbers!$B$5*12-12*'30 Year IRR'!A8)*(1-1/(1+Numbers!$B$4/12)^(12*'30 Year IRR'!A8))/(Numbers!$B$4/12))-Numbers!$E$4*(12*'30 Year IRR'!A7-1/(1+Numbers!$B$4/12)^(Numbers!$B$5*12-12*'30 Year IRR'!A7)*(1-1/(1+Numbers!$B$4/12)^(12*'30 Year IRR'!A7))/(Numbers!$B$4/12)),0)</f>
        <v>2575.3690677346713</v>
      </c>
      <c r="C8" s="16">
        <f>IF(A8&lt;=Numbers!$B$5,Numbers!$E$4*(1/(1+Numbers!$B$4/12))^(12*Numbers!$B$5-12*'30 Year IRR'!A8)*(1-1/(1+Numbers!$B$4/12)^(12*'30 Year IRR'!A8))/(Numbers!$B$4/12)-Numbers!$E$4*(1/(1+Numbers!$B$4/12))^(12*Numbers!$B$5-12*('30 Year IRR'!A8-1))*(1-1/(1+Numbers!$B$4/12)^(12*('30 Year IRR'!A8-1)))/(Numbers!$B$4/12),0)</f>
        <v>1481.9242991092606</v>
      </c>
      <c r="D8" s="16">
        <f>IF(SUM($C$3:C7)/Numbers!$E$3&lt;Numbers!$B$10,12*Numbers!$E$7,0)</f>
        <v>320.62499999999994</v>
      </c>
      <c r="E8" s="16">
        <f>12*Numbers!$B$15*(1-Numbers!$B$33)*(1+Numbers!$B$30)^('30 Year IRR'!A8-1)-('30 Year IRR'!B8+'30 Year IRR'!C8+'30 Year IRR'!D8+12*(Numbers!$E$8+Numbers!$E$9)*(1+Numbers!$B$30)^('30 Year IRR'!A8-1)+12*(1-Numbers!$B$33)*Numbers!$B$16*(1+Numbers!$B$30)^('30 Year IRR'!A8-1)+12*Numbers!$B$33*Numbers!$B$19*(1+Numbers!$B$30)^('30 Year IRR'!A8-1))</f>
        <v>5939.8249822760681</v>
      </c>
      <c r="F8" s="16">
        <f>Numbers!$B$35*('30 Year IRR'!E8+'30 Year IRR'!C8-IF(A8&lt;27.5,Numbers!$E$14,0))</f>
        <v>1237.2555021645139</v>
      </c>
      <c r="G8" s="16">
        <f t="shared" si="0"/>
        <v>4702.5694801115542</v>
      </c>
    </row>
    <row r="9" spans="1:9" x14ac:dyDescent="0.25">
      <c r="A9" s="17">
        <v>6</v>
      </c>
      <c r="B9" s="16">
        <f>IF(A9&lt;=Numbers!$B$5,Numbers!$E$4*(12*'30 Year IRR'!A9-1/(1+Numbers!$B$4/12)^(Numbers!$B$5*12-12*'30 Year IRR'!A9)*(1-1/(1+Numbers!$B$4/12)^(12*'30 Year IRR'!A9))/(Numbers!$B$4/12))-Numbers!$E$4*(12*'30 Year IRR'!A8-1/(1+Numbers!$B$4/12)^(Numbers!$B$5*12-12*'30 Year IRR'!A8)*(1-1/(1+Numbers!$B$4/12)^(12*'30 Year IRR'!A8))/(Numbers!$B$4/12)),0)</f>
        <v>2515.7615979036655</v>
      </c>
      <c r="C9" s="16">
        <f>IF(A9&lt;=Numbers!$B$5,Numbers!$E$4*(1/(1+Numbers!$B$4/12))^(12*Numbers!$B$5-12*'30 Year IRR'!A9)*(1-1/(1+Numbers!$B$4/12)^(12*'30 Year IRR'!A9))/(Numbers!$B$4/12)-Numbers!$E$4*(1/(1+Numbers!$B$4/12))^(12*Numbers!$B$5-12*('30 Year IRR'!A9-1))*(1-1/(1+Numbers!$B$4/12)^(12*('30 Year IRR'!A9-1)))/(Numbers!$B$4/12),0)</f>
        <v>1541.5317689402618</v>
      </c>
      <c r="D9" s="16">
        <f>IF(SUM($C$3:C8)/Numbers!$E$3&lt;Numbers!$B$10,12*Numbers!$E$7,0)</f>
        <v>320.62499999999994</v>
      </c>
      <c r="E9" s="16">
        <f>12*Numbers!$B$15*(1-Numbers!$B$33)*(1+Numbers!$B$30)^('30 Year IRR'!A9-1)-('30 Year IRR'!B9+'30 Year IRR'!C9+'30 Year IRR'!D9+12*(Numbers!$E$8+Numbers!$E$9)*(1+Numbers!$B$30)^('30 Year IRR'!A9-1)+12*(1-Numbers!$B$33)*Numbers!$B$16*(1+Numbers!$B$30)^('30 Year IRR'!A9-1)+12*Numbers!$B$33*Numbers!$B$19*(1+Numbers!$B$30)^('30 Year IRR'!A9-1))</f>
        <v>6146.179849258473</v>
      </c>
      <c r="F9" s="16">
        <f>Numbers!$B$35*('30 Year IRR'!E9+'30 Year IRR'!C9-IF(A9&lt;27.5,Numbers!$E$14,0))</f>
        <v>1303.7460863678657</v>
      </c>
      <c r="G9" s="16">
        <f t="shared" si="0"/>
        <v>4842.4337628906069</v>
      </c>
    </row>
    <row r="10" spans="1:9" x14ac:dyDescent="0.25">
      <c r="A10" s="17">
        <v>7</v>
      </c>
      <c r="B10" s="16">
        <f>IF(A10&lt;=Numbers!$B$5,Numbers!$E$4*(12*'30 Year IRR'!A10-1/(1+Numbers!$B$4/12)^(Numbers!$B$5*12-12*'30 Year IRR'!A10)*(1-1/(1+Numbers!$B$4/12)^(12*'30 Year IRR'!A10))/(Numbers!$B$4/12))-Numbers!$E$4*(12*'30 Year IRR'!A9-1/(1+Numbers!$B$4/12)^(Numbers!$B$5*12-12*'30 Year IRR'!A9)*(1-1/(1+Numbers!$B$4/12)^(12*'30 Year IRR'!A9))/(Numbers!$B$4/12)),0)</f>
        <v>2453.7565356573068</v>
      </c>
      <c r="C10" s="16">
        <f>IF(A10&lt;=Numbers!$B$5,Numbers!$E$4*(1/(1+Numbers!$B$4/12))^(12*Numbers!$B$5-12*'30 Year IRR'!A10)*(1-1/(1+Numbers!$B$4/12)^(12*'30 Year IRR'!A10))/(Numbers!$B$4/12)-Numbers!$E$4*(1/(1+Numbers!$B$4/12))^(12*Numbers!$B$5-12*('30 Year IRR'!A10-1))*(1-1/(1+Numbers!$B$4/12)^(12*('30 Year IRR'!A10-1)))/(Numbers!$B$4/12),0)</f>
        <v>1603.5368311866241</v>
      </c>
      <c r="D10" s="16">
        <f>IF(SUM($C$3:C9)/Numbers!$E$3&lt;Numbers!$B$10,12*Numbers!$E$7,0)</f>
        <v>320.62499999999994</v>
      </c>
      <c r="E10" s="16">
        <f>12*Numbers!$B$15*(1-Numbers!$B$33)*(1+Numbers!$B$30)^('30 Year IRR'!A10-1)-('30 Year IRR'!B10+'30 Year IRR'!C10+'30 Year IRR'!D10+12*(Numbers!$E$8+Numbers!$E$9)*(1+Numbers!$B$30)^('30 Year IRR'!A10-1)+12*(1-Numbers!$B$33)*Numbers!$B$16*(1+Numbers!$B$30)^('30 Year IRR'!A10-1)+12*Numbers!$B$33*Numbers!$B$19*(1+Numbers!$B$30)^('30 Year IRR'!A10-1))</f>
        <v>6356.6618135805165</v>
      </c>
      <c r="F10" s="16">
        <f>Numbers!$B$35*('30 Year IRR'!E10+'30 Year IRR'!C10-IF(A10&lt;27.5,Numbers!$E$14,0))</f>
        <v>1371.8678430099671</v>
      </c>
      <c r="G10" s="16">
        <f t="shared" si="0"/>
        <v>4984.7939705705494</v>
      </c>
    </row>
    <row r="11" spans="1:9" x14ac:dyDescent="0.25">
      <c r="A11" s="17">
        <v>8</v>
      </c>
      <c r="B11" s="16">
        <f>IF(A11&lt;=Numbers!$B$5,Numbers!$E$4*(12*'30 Year IRR'!A11-1/(1+Numbers!$B$4/12)^(Numbers!$B$5*12-12*'30 Year IRR'!A11)*(1-1/(1+Numbers!$B$4/12)^(12*'30 Year IRR'!A11))/(Numbers!$B$4/12))-Numbers!$E$4*(12*'30 Year IRR'!A10-1/(1+Numbers!$B$4/12)^(Numbers!$B$5*12-12*'30 Year IRR'!A10)*(1-1/(1+Numbers!$B$4/12)^(12*'30 Year IRR'!A10))/(Numbers!$B$4/12)),0)</f>
        <v>2389.257442589369</v>
      </c>
      <c r="C11" s="16">
        <f>IF(A11&lt;=Numbers!$B$5,Numbers!$E$4*(1/(1+Numbers!$B$4/12))^(12*Numbers!$B$5-12*'30 Year IRR'!A11)*(1-1/(1+Numbers!$B$4/12)^(12*'30 Year IRR'!A11))/(Numbers!$B$4/12)-Numbers!$E$4*(1/(1+Numbers!$B$4/12))^(12*Numbers!$B$5-12*('30 Year IRR'!A11-1))*(1-1/(1+Numbers!$B$4/12)^(12*('30 Year IRR'!A11-1)))/(Numbers!$B$4/12),0)</f>
        <v>1668.0359242545601</v>
      </c>
      <c r="D11" s="16">
        <f>IF(SUM($C$3:C10)/Numbers!$E$3&lt;Numbers!$B$10,12*Numbers!$E$7,0)</f>
        <v>320.62499999999994</v>
      </c>
      <c r="E11" s="16">
        <f>12*Numbers!$B$15*(1-Numbers!$B$33)*(1+Numbers!$B$30)^('30 Year IRR'!A11-1)-('30 Year IRR'!B11+'30 Year IRR'!C11+'30 Year IRR'!D11+12*(Numbers!$E$8+Numbers!$E$9)*(1+Numbers!$B$30)^('30 Year IRR'!A11-1)+12*(1-Numbers!$B$33)*Numbers!$B$16*(1+Numbers!$B$30)^('30 Year IRR'!A11-1)+12*Numbers!$B$33*Numbers!$B$19*(1+Numbers!$B$30)^('30 Year IRR'!A11-1))</f>
        <v>6571.353417189006</v>
      </c>
      <c r="F11" s="16">
        <f>Numbers!$B$35*('30 Year IRR'!E11+'30 Year IRR'!C11-IF(A11&lt;27.5,Numbers!$E$14,0))</f>
        <v>1441.6655171790735</v>
      </c>
      <c r="G11" s="16">
        <f t="shared" si="0"/>
        <v>5129.6879000099325</v>
      </c>
    </row>
    <row r="12" spans="1:9" x14ac:dyDescent="0.25">
      <c r="A12" s="17">
        <v>9</v>
      </c>
      <c r="B12" s="16">
        <f>IF(A12&lt;=Numbers!$B$5,Numbers!$E$4*(12*'30 Year IRR'!A12-1/(1+Numbers!$B$4/12)^(Numbers!$B$5*12-12*'30 Year IRR'!A12)*(1-1/(1+Numbers!$B$4/12)^(12*'30 Year IRR'!A12))/(Numbers!$B$4/12))-Numbers!$E$4*(12*'30 Year IRR'!A11-1/(1+Numbers!$B$4/12)^(Numbers!$B$5*12-12*'30 Year IRR'!A11)*(1-1/(1+Numbers!$B$4/12)^(12*'30 Year IRR'!A11))/(Numbers!$B$4/12)),0)</f>
        <v>2322.164001249741</v>
      </c>
      <c r="C12" s="16">
        <f>IF(A12&lt;=Numbers!$B$5,Numbers!$E$4*(1/(1+Numbers!$B$4/12))^(12*Numbers!$B$5-12*'30 Year IRR'!A12)*(1-1/(1+Numbers!$B$4/12)^(12*'30 Year IRR'!A12))/(Numbers!$B$4/12)-Numbers!$E$4*(1/(1+Numbers!$B$4/12))^(12*Numbers!$B$5-12*('30 Year IRR'!A12-1))*(1-1/(1+Numbers!$B$4/12)^(12*('30 Year IRR'!A12-1)))/(Numbers!$B$4/12),0)</f>
        <v>1735.1293655941881</v>
      </c>
      <c r="D12" s="16">
        <f>IF(SUM($C$3:C11)/Numbers!$E$3&lt;Numbers!$B$10,12*Numbers!$E$7,0)</f>
        <v>320.62499999999994</v>
      </c>
      <c r="E12" s="16">
        <f>12*Numbers!$B$15*(1-Numbers!$B$33)*(1+Numbers!$B$30)^('30 Year IRR'!A12-1)-('30 Year IRR'!B12+'30 Year IRR'!C12+'30 Year IRR'!D12+12*(Numbers!$E$8+Numbers!$E$9)*(1+Numbers!$B$30)^('30 Year IRR'!A12-1)+12*(1-Numbers!$B$33)*Numbers!$B$16*(1+Numbers!$B$30)^('30 Year IRR'!A12-1)+12*Numbers!$B$33*Numbers!$B$19*(1+Numbers!$B$30)^('30 Year IRR'!A12-1))</f>
        <v>6790.3388528696651</v>
      </c>
      <c r="F12" s="16">
        <f>Numbers!$B$35*('30 Year IRR'!E12+'30 Year IRR'!C12-IF(A12&lt;27.5,Numbers!$E$14,0))</f>
        <v>1513.1852364341453</v>
      </c>
      <c r="G12" s="16">
        <f t="shared" si="0"/>
        <v>5277.1536164355202</v>
      </c>
    </row>
    <row r="13" spans="1:9" x14ac:dyDescent="0.25">
      <c r="A13" s="17">
        <v>10</v>
      </c>
      <c r="B13" s="16">
        <f>IF(A13&lt;=Numbers!$B$5,Numbers!$E$4*(12*'30 Year IRR'!A13-1/(1+Numbers!$B$4/12)^(Numbers!$B$5*12-12*'30 Year IRR'!A13)*(1-1/(1+Numbers!$B$4/12)^(12*'30 Year IRR'!A13))/(Numbers!$B$4/12))-Numbers!$E$4*(12*'30 Year IRR'!A12-1/(1+Numbers!$B$4/12)^(Numbers!$B$5*12-12*'30 Year IRR'!A12)*(1-1/(1+Numbers!$B$4/12)^(12*'30 Year IRR'!A12))/(Numbers!$B$4/12)),0)</f>
        <v>2252.371859117553</v>
      </c>
      <c r="C13" s="16">
        <f>IF(A13&lt;=Numbers!$B$5,Numbers!$E$4*(1/(1+Numbers!$B$4/12))^(12*Numbers!$B$5-12*'30 Year IRR'!A13)*(1-1/(1+Numbers!$B$4/12)^(12*'30 Year IRR'!A13))/(Numbers!$B$4/12)-Numbers!$E$4*(1/(1+Numbers!$B$4/12))^(12*Numbers!$B$5-12*('30 Year IRR'!A13-1))*(1-1/(1+Numbers!$B$4/12)^(12*('30 Year IRR'!A13-1)))/(Numbers!$B$4/12),0)</f>
        <v>1804.9215077263634</v>
      </c>
      <c r="D13" s="16">
        <f>IF(SUM($C$3:C12)/Numbers!$E$3&lt;Numbers!$B$10,12*Numbers!$E$7,0)</f>
        <v>320.62499999999994</v>
      </c>
      <c r="E13" s="16">
        <f>12*Numbers!$B$15*(1-Numbers!$B$33)*(1+Numbers!$B$30)^('30 Year IRR'!A13-1)-('30 Year IRR'!B13+'30 Year IRR'!C13+'30 Year IRR'!D13+12*(Numbers!$E$8+Numbers!$E$9)*(1+Numbers!$B$30)^('30 Year IRR'!A13-1)+12*(1-Numbers!$B$33)*Numbers!$B$16*(1+Numbers!$B$30)^('30 Year IRR'!A13-1)+12*Numbers!$B$33*Numbers!$B$19*(1+Numbers!$B$30)^('30 Year IRR'!A13-1))</f>
        <v>7013.7039972639486</v>
      </c>
      <c r="F13" s="16">
        <f>Numbers!$B$35*('30 Year IRR'!E13+'30 Year IRR'!C13-IF(A13&lt;27.5,Numbers!$E$14,0))</f>
        <v>1586.47455806576</v>
      </c>
      <c r="G13" s="16">
        <f t="shared" si="0"/>
        <v>5427.2294391981886</v>
      </c>
    </row>
    <row r="14" spans="1:9" x14ac:dyDescent="0.25">
      <c r="A14" s="17">
        <v>11</v>
      </c>
      <c r="B14" s="16">
        <f>IF(A14&lt;=Numbers!$B$5,Numbers!$E$4*(12*'30 Year IRR'!A14-1/(1+Numbers!$B$4/12)^(Numbers!$B$5*12-12*'30 Year IRR'!A14)*(1-1/(1+Numbers!$B$4/12)^(12*'30 Year IRR'!A14))/(Numbers!$B$4/12))-Numbers!$E$4*(12*'30 Year IRR'!A13-1/(1+Numbers!$B$4/12)^(Numbers!$B$5*12-12*'30 Year IRR'!A13)*(1-1/(1+Numbers!$B$4/12)^(12*'30 Year IRR'!A13))/(Numbers!$B$4/12)),0)</f>
        <v>2179.7724662984874</v>
      </c>
      <c r="C14" s="16">
        <f>IF(A14&lt;=Numbers!$B$5,Numbers!$E$4*(1/(1+Numbers!$B$4/12))^(12*Numbers!$B$5-12*'30 Year IRR'!A14)*(1-1/(1+Numbers!$B$4/12)^(12*'30 Year IRR'!A14))/(Numbers!$B$4/12)-Numbers!$E$4*(1/(1+Numbers!$B$4/12))^(12*Numbers!$B$5-12*('30 Year IRR'!A14-1))*(1-1/(1+Numbers!$B$4/12)^(12*('30 Year IRR'!A14-1)))/(Numbers!$B$4/12),0)</f>
        <v>1877.520900545429</v>
      </c>
      <c r="D14" s="16">
        <f>IF(SUM($C$3:C13)/Numbers!$E$3&lt;Numbers!$B$10,12*Numbers!$E$7,0)</f>
        <v>0</v>
      </c>
      <c r="E14" s="16">
        <f>12*Numbers!$B$15*(1-Numbers!$B$33)*(1+Numbers!$B$30)^('30 Year IRR'!A14-1)-('30 Year IRR'!B14+'30 Year IRR'!C14+'30 Year IRR'!D14+12*(Numbers!$E$8+Numbers!$E$9)*(1+Numbers!$B$30)^('30 Year IRR'!A14-1)+12*(1-Numbers!$B$33)*Numbers!$B$16*(1+Numbers!$B$30)^('30 Year IRR'!A14-1)+12*Numbers!$B$33*Numbers!$B$19*(1+Numbers!$B$30)^('30 Year IRR'!A14-1))</f>
        <v>7562.1614445461091</v>
      </c>
      <c r="F14" s="16">
        <f>Numbers!$B$35*('30 Year IRR'!E14+'30 Year IRR'!C14-IF(A14&lt;27.5,Numbers!$E$14,0))</f>
        <v>1741.7387680910665</v>
      </c>
      <c r="G14" s="16">
        <f t="shared" si="0"/>
        <v>5820.4226764550422</v>
      </c>
    </row>
    <row r="15" spans="1:9" x14ac:dyDescent="0.25">
      <c r="A15" s="17">
        <v>12</v>
      </c>
      <c r="B15" s="16">
        <f>IF(A15&lt;=Numbers!$B$5,Numbers!$E$4*(12*'30 Year IRR'!A15-1/(1+Numbers!$B$4/12)^(Numbers!$B$5*12-12*'30 Year IRR'!A15)*(1-1/(1+Numbers!$B$4/12)^(12*'30 Year IRR'!A15))/(Numbers!$B$4/12))-Numbers!$E$4*(12*'30 Year IRR'!A14-1/(1+Numbers!$B$4/12)^(Numbers!$B$5*12-12*'30 Year IRR'!A14)*(1-1/(1+Numbers!$B$4/12)^(12*'30 Year IRR'!A14))/(Numbers!$B$4/12)),0)</f>
        <v>2104.2529066937095</v>
      </c>
      <c r="C15" s="16">
        <f>IF(A15&lt;=Numbers!$B$5,Numbers!$E$4*(1/(1+Numbers!$B$4/12))^(12*Numbers!$B$5-12*'30 Year IRR'!A15)*(1-1/(1+Numbers!$B$4/12)^(12*'30 Year IRR'!A15))/(Numbers!$B$4/12)-Numbers!$E$4*(1/(1+Numbers!$B$4/12))^(12*Numbers!$B$5-12*('30 Year IRR'!A15-1))*(1-1/(1+Numbers!$B$4/12)^(12*('30 Year IRR'!A15-1)))/(Numbers!$B$4/12),0)</f>
        <v>1953.0404601502123</v>
      </c>
      <c r="D15" s="16">
        <f>IF(SUM($C$3:C14)/Numbers!$E$3&lt;Numbers!$B$10,12*Numbers!$E$7,0)</f>
        <v>0</v>
      </c>
      <c r="E15" s="16">
        <f>12*Numbers!$B$15*(1-Numbers!$B$33)*(1+Numbers!$B$30)^('30 Year IRR'!A15-1)-('30 Year IRR'!B15+'30 Year IRR'!C15+'30 Year IRR'!D15+12*(Numbers!$E$8+Numbers!$E$9)*(1+Numbers!$B$30)^('30 Year IRR'!A15-1)+12*(1-Numbers!$B$33)*Numbers!$B$16*(1+Numbers!$B$30)^('30 Year IRR'!A15-1)+12*Numbers!$B$33*Numbers!$B$19*(1+Numbers!$B$30)^('30 Year IRR'!A15-1))</f>
        <v>7794.5505407739001</v>
      </c>
      <c r="F15" s="16">
        <f>Numbers!$B$35*('30 Year IRR'!E15+'30 Year IRR'!C15-IF(A15&lt;27.5,Numbers!$E$14,0))</f>
        <v>1818.7159320492101</v>
      </c>
      <c r="G15" s="16">
        <f t="shared" si="0"/>
        <v>5975.83460872469</v>
      </c>
    </row>
    <row r="16" spans="1:9" x14ac:dyDescent="0.25">
      <c r="A16" s="17">
        <v>13</v>
      </c>
      <c r="B16" s="16">
        <f>IF(A16&lt;=Numbers!$B$5,Numbers!$E$4*(12*'30 Year IRR'!A16-1/(1+Numbers!$B$4/12)^(Numbers!$B$5*12-12*'30 Year IRR'!A16)*(1-1/(1+Numbers!$B$4/12)^(12*'30 Year IRR'!A16))/(Numbers!$B$4/12))-Numbers!$E$4*(12*'30 Year IRR'!A15-1/(1+Numbers!$B$4/12)^(Numbers!$B$5*12-12*'30 Year IRR'!A15)*(1-1/(1+Numbers!$B$4/12)^(12*'30 Year IRR'!A15))/(Numbers!$B$4/12)),0)</f>
        <v>2025.6957223779209</v>
      </c>
      <c r="C16" s="16">
        <f>IF(A16&lt;=Numbers!$B$5,Numbers!$E$4*(1/(1+Numbers!$B$4/12))^(12*Numbers!$B$5-12*'30 Year IRR'!A16)*(1-1/(1+Numbers!$B$4/12)^(12*'30 Year IRR'!A16))/(Numbers!$B$4/12)-Numbers!$E$4*(1/(1+Numbers!$B$4/12))^(12*Numbers!$B$5-12*('30 Year IRR'!A16-1))*(1-1/(1+Numbers!$B$4/12)^(12*('30 Year IRR'!A16-1)))/(Numbers!$B$4/12),0)</f>
        <v>2031.5976444659937</v>
      </c>
      <c r="D16" s="16">
        <f>IF(SUM($C$3:C15)/Numbers!$E$3&lt;Numbers!$B$10,12*Numbers!$E$7,0)</f>
        <v>0</v>
      </c>
      <c r="E16" s="16">
        <f>12*Numbers!$B$15*(1-Numbers!$B$33)*(1+Numbers!$B$30)^('30 Year IRR'!A16-1)-('30 Year IRR'!B16+'30 Year IRR'!C16+'30 Year IRR'!D16+12*(Numbers!$E$8+Numbers!$E$9)*(1+Numbers!$B$30)^('30 Year IRR'!A16-1)+12*(1-Numbers!$B$33)*Numbers!$B$16*(1+Numbers!$B$30)^('30 Year IRR'!A16-1)+12*Numbers!$B$33*Numbers!$B$19*(1+Numbers!$B$30)^('30 Year IRR'!A16-1))</f>
        <v>8031.5874189262668</v>
      </c>
      <c r="F16" s="16">
        <f>Numbers!$B$35*('30 Year IRR'!E16+'30 Year IRR'!C16-IF(A16&lt;27.5,Numbers!$E$14,0))</f>
        <v>1897.6144476662471</v>
      </c>
      <c r="G16" s="16">
        <f t="shared" si="0"/>
        <v>6133.9729712600201</v>
      </c>
    </row>
    <row r="17" spans="1:7" x14ac:dyDescent="0.25">
      <c r="A17" s="17">
        <v>14</v>
      </c>
      <c r="B17" s="16">
        <f>IF(A17&lt;=Numbers!$B$5,Numbers!$E$4*(12*'30 Year IRR'!A17-1/(1+Numbers!$B$4/12)^(Numbers!$B$5*12-12*'30 Year IRR'!A17)*(1-1/(1+Numbers!$B$4/12)^(12*'30 Year IRR'!A17))/(Numbers!$B$4/12))-Numbers!$E$4*(12*'30 Year IRR'!A16-1/(1+Numbers!$B$4/12)^(Numbers!$B$5*12-12*'30 Year IRR'!A16)*(1-1/(1+Numbers!$B$4/12)^(12*'30 Year IRR'!A16))/(Numbers!$B$4/12)),0)</f>
        <v>1943.9787309134699</v>
      </c>
      <c r="C17" s="16">
        <f>IF(A17&lt;=Numbers!$B$5,Numbers!$E$4*(1/(1+Numbers!$B$4/12))^(12*Numbers!$B$5-12*'30 Year IRR'!A17)*(1-1/(1+Numbers!$B$4/12)^(12*'30 Year IRR'!A17))/(Numbers!$B$4/12)-Numbers!$E$4*(1/(1+Numbers!$B$4/12))^(12*Numbers!$B$5-12*('30 Year IRR'!A17-1))*(1-1/(1+Numbers!$B$4/12)^(12*('30 Year IRR'!A17-1)))/(Numbers!$B$4/12),0)</f>
        <v>2113.3146359304337</v>
      </c>
      <c r="D17" s="16">
        <f>IF(SUM($C$3:C16)/Numbers!$E$3&lt;Numbers!$B$10,12*Numbers!$E$7,0)</f>
        <v>0</v>
      </c>
      <c r="E17" s="16">
        <f>12*Numbers!$B$15*(1-Numbers!$B$33)*(1+Numbers!$B$30)^('30 Year IRR'!A17-1)-('30 Year IRR'!B17+'30 Year IRR'!C17+'30 Year IRR'!D17+12*(Numbers!$E$8+Numbers!$E$9)*(1+Numbers!$B$30)^('30 Year IRR'!A17-1)+12*(1-Numbers!$B$33)*Numbers!$B$16*(1+Numbers!$B$30)^('30 Year IRR'!A17-1)+12*Numbers!$B$33*Numbers!$B$19*(1+Numbers!$B$30)^('30 Year IRR'!A17-1))</f>
        <v>8273.3650346416835</v>
      </c>
      <c r="F17" s="16">
        <f>Numbers!$B$35*('30 Year IRR'!E17+'30 Year IRR'!C17-IF(A17&lt;27.5,Numbers!$E$14,0))</f>
        <v>1978.4880994612113</v>
      </c>
      <c r="G17" s="16">
        <f t="shared" si="0"/>
        <v>6294.8769351804722</v>
      </c>
    </row>
    <row r="18" spans="1:7" x14ac:dyDescent="0.25">
      <c r="A18" s="17">
        <v>15</v>
      </c>
      <c r="B18" s="16">
        <f>IF(A18&lt;=Numbers!$B$5,Numbers!$E$4*(12*'30 Year IRR'!A18-1/(1+Numbers!$B$4/12)^(Numbers!$B$5*12-12*'30 Year IRR'!A18)*(1-1/(1+Numbers!$B$4/12)^(12*'30 Year IRR'!A18))/(Numbers!$B$4/12))-Numbers!$E$4*(12*'30 Year IRR'!A17-1/(1+Numbers!$B$4/12)^(Numbers!$B$5*12-12*'30 Year IRR'!A17)*(1-1/(1+Numbers!$B$4/12)^(12*'30 Year IRR'!A17))/(Numbers!$B$4/12)),0)</f>
        <v>1858.9748353161121</v>
      </c>
      <c r="C18" s="16">
        <f>IF(A18&lt;=Numbers!$B$5,Numbers!$E$4*(1/(1+Numbers!$B$4/12))^(12*Numbers!$B$5-12*'30 Year IRR'!A18)*(1-1/(1+Numbers!$B$4/12)^(12*'30 Year IRR'!A18))/(Numbers!$B$4/12)-Numbers!$E$4*(1/(1+Numbers!$B$4/12))^(12*Numbers!$B$5-12*('30 Year IRR'!A18-1))*(1-1/(1+Numbers!$B$4/12)^(12*('30 Year IRR'!A18-1)))/(Numbers!$B$4/12),0)</f>
        <v>2198.3185315278024</v>
      </c>
      <c r="D18" s="16">
        <f>IF(SUM($C$3:C17)/Numbers!$E$3&lt;Numbers!$B$10,12*Numbers!$E$7,0)</f>
        <v>0</v>
      </c>
      <c r="E18" s="16">
        <f>12*Numbers!$B$15*(1-Numbers!$B$33)*(1+Numbers!$B$30)^('30 Year IRR'!A18-1)-('30 Year IRR'!B18+'30 Year IRR'!C18+'30 Year IRR'!D18+12*(Numbers!$E$8+Numbers!$E$9)*(1+Numbers!$B$30)^('30 Year IRR'!A18-1)+12*(1-Numbers!$B$33)*Numbers!$B$16*(1+Numbers!$B$30)^('30 Year IRR'!A18-1)+12*Numbers!$B$33*Numbers!$B$19*(1+Numbers!$B$30)^('30 Year IRR'!A18-1))</f>
        <v>8519.978202671382</v>
      </c>
      <c r="F18" s="16">
        <f>Numbers!$B$35*('30 Year IRR'!E18+'30 Year IRR'!C18-IF(A18&lt;27.5,Numbers!$E$14,0))</f>
        <v>2061.3923653679781</v>
      </c>
      <c r="G18" s="16">
        <f>E18-F18+D26</f>
        <v>60806.411539120752</v>
      </c>
    </row>
    <row r="19" spans="1:7" x14ac:dyDescent="0.25">
      <c r="A19" s="17"/>
      <c r="B19" s="16"/>
      <c r="C19" s="16"/>
      <c r="D19" s="16"/>
      <c r="E19" s="16"/>
      <c r="F19" s="16"/>
      <c r="G19" s="16"/>
    </row>
    <row r="20" spans="1:7" x14ac:dyDescent="0.25">
      <c r="A20" s="17"/>
      <c r="B20" s="16"/>
      <c r="C20" s="18" t="s">
        <v>53</v>
      </c>
      <c r="D20" s="16">
        <f>(1+Numbers!$B$31)^15*(Numbers!B3+Numbers!B8)</f>
        <v>124637.39332806115</v>
      </c>
      <c r="F20" s="1" t="s">
        <v>63</v>
      </c>
      <c r="G20" s="16">
        <f>SUM(G4:G18)-D26</f>
        <v>76707.808003337297</v>
      </c>
    </row>
    <row r="21" spans="1:7" x14ac:dyDescent="0.25">
      <c r="A21" s="17"/>
      <c r="B21" s="16"/>
      <c r="C21" s="1" t="s">
        <v>61</v>
      </c>
      <c r="D21" s="16">
        <f>(1-Numbers!B23)*'15 Year IRR'!D20-Numbers!B24</f>
        <v>114159.14972837748</v>
      </c>
    </row>
    <row r="22" spans="1:7" x14ac:dyDescent="0.25">
      <c r="A22" s="17"/>
      <c r="B22" s="16"/>
      <c r="C22" s="1" t="s">
        <v>56</v>
      </c>
      <c r="D22" s="16">
        <f>Numbers!E13-15*Numbers!E14</f>
        <v>45909.090909090912</v>
      </c>
    </row>
    <row r="23" spans="1:7" x14ac:dyDescent="0.25">
      <c r="A23" s="17"/>
      <c r="B23" s="16"/>
      <c r="C23" s="18" t="s">
        <v>57</v>
      </c>
      <c r="D23" s="16">
        <f>(D21-Numbers!E13)*Numbers!B25</f>
        <v>4673.8724592566223</v>
      </c>
    </row>
    <row r="24" spans="1:7" x14ac:dyDescent="0.25">
      <c r="A24" s="17"/>
      <c r="B24" s="16"/>
      <c r="C24" s="18" t="s">
        <v>60</v>
      </c>
      <c r="D24" s="16">
        <f>Numbers!B26*(Numbers!E13-'15 Year IRR'!D22)</f>
        <v>9272.7272727272721</v>
      </c>
    </row>
    <row r="25" spans="1:7" x14ac:dyDescent="0.25">
      <c r="A25" s="17"/>
      <c r="B25" s="16"/>
      <c r="C25" s="18" t="s">
        <v>58</v>
      </c>
      <c r="D25" s="16">
        <f>Numbers!E3-SUM(C4:C18)</f>
        <v>45864.724294576241</v>
      </c>
    </row>
    <row r="26" spans="1:7" x14ac:dyDescent="0.25">
      <c r="A26" s="17"/>
      <c r="B26" s="16"/>
      <c r="C26" s="18" t="s">
        <v>59</v>
      </c>
      <c r="D26" s="16">
        <f>D21-D23-D24-D25</f>
        <v>54347.825701817346</v>
      </c>
    </row>
    <row r="27" spans="1:7" x14ac:dyDescent="0.25">
      <c r="A27" s="17"/>
      <c r="B27" s="16"/>
    </row>
    <row r="28" spans="1:7" x14ac:dyDescent="0.25">
      <c r="A28" s="17"/>
      <c r="B28" s="16"/>
      <c r="C28" s="18" t="s">
        <v>62</v>
      </c>
      <c r="D28" s="19">
        <f>IRR(G3:G18)</f>
        <v>0.35838986164574549</v>
      </c>
    </row>
    <row r="29" spans="1:7" x14ac:dyDescent="0.25">
      <c r="A29" s="17"/>
      <c r="B29" s="16"/>
      <c r="C29" s="16"/>
      <c r="D29" s="16"/>
      <c r="E29" s="16"/>
      <c r="F29" s="16"/>
      <c r="G29" s="16"/>
    </row>
    <row r="30" spans="1:7" x14ac:dyDescent="0.25">
      <c r="A30" s="17"/>
      <c r="B30" s="16"/>
      <c r="C30" s="16"/>
      <c r="D30" s="16"/>
      <c r="E30" s="16"/>
      <c r="F30" s="16"/>
      <c r="G30" s="16"/>
    </row>
    <row r="31" spans="1:7" x14ac:dyDescent="0.25">
      <c r="A31" s="17"/>
      <c r="B31" s="16"/>
      <c r="C31" s="16"/>
      <c r="D31" s="16"/>
      <c r="E31" s="16"/>
      <c r="F31" s="16"/>
      <c r="G31" s="16"/>
    </row>
    <row r="32" spans="1:7" x14ac:dyDescent="0.25">
      <c r="A32" s="17"/>
      <c r="B32" s="16"/>
      <c r="C32" s="16"/>
      <c r="D32" s="16"/>
      <c r="E32" s="16"/>
      <c r="F32" s="16"/>
      <c r="G32" s="16"/>
    </row>
    <row r="33" spans="1:7" x14ac:dyDescent="0.25">
      <c r="A33" s="17"/>
      <c r="B33" s="16"/>
      <c r="C33" s="16"/>
      <c r="D33" s="16"/>
      <c r="E33" s="16"/>
      <c r="F33" s="16"/>
      <c r="G33" s="16"/>
    </row>
    <row r="34" spans="1:7" x14ac:dyDescent="0.25">
      <c r="A34" s="16"/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workbookViewId="0">
      <selection activeCell="E5" sqref="E5"/>
    </sheetView>
  </sheetViews>
  <sheetFormatPr defaultRowHeight="15" x14ac:dyDescent="0.25"/>
  <cols>
    <col min="1" max="1" width="9.28515625" customWidth="1"/>
    <col min="2" max="4" width="16.7109375" customWidth="1"/>
    <col min="5" max="5" width="18.28515625" customWidth="1"/>
    <col min="6" max="7" width="16.7109375" customWidth="1"/>
    <col min="8" max="8" width="27.7109375" customWidth="1"/>
    <col min="9" max="9" width="27.42578125" customWidth="1"/>
  </cols>
  <sheetData>
    <row r="1" spans="1:9" x14ac:dyDescent="0.25">
      <c r="A1" s="1" t="s">
        <v>48</v>
      </c>
      <c r="B1" s="1" t="s">
        <v>54</v>
      </c>
      <c r="C1" s="1" t="s">
        <v>52</v>
      </c>
      <c r="D1" s="1" t="s">
        <v>55</v>
      </c>
      <c r="E1" s="1" t="s">
        <v>50</v>
      </c>
      <c r="F1" s="1" t="s">
        <v>51</v>
      </c>
      <c r="G1" s="1" t="s">
        <v>49</v>
      </c>
    </row>
    <row r="3" spans="1:9" x14ac:dyDescent="0.25">
      <c r="A3" s="17">
        <v>0</v>
      </c>
      <c r="B3" s="16"/>
      <c r="C3" s="16"/>
      <c r="D3" s="16"/>
      <c r="E3" s="16"/>
      <c r="F3" s="16"/>
      <c r="G3" s="16">
        <f>-Numbers!E23</f>
        <v>-11750.000000000004</v>
      </c>
      <c r="I3" s="16"/>
    </row>
    <row r="4" spans="1:9" x14ac:dyDescent="0.25">
      <c r="A4" s="17">
        <v>1</v>
      </c>
      <c r="B4" s="16">
        <f>IF(A4&lt;=Numbers!$B$5,Numbers!$E$4*(12*'30 Year IRR'!A4-1/(1+Numbers!$B$4/12)^(Numbers!$B$5*12-12*'30 Year IRR'!A4)*(1-1/(1+Numbers!$B$4/12)^(12*'30 Year IRR'!A4))/(Numbers!$B$4/12))-Numbers!$E$4*(12*'30 Year IRR'!A3-1/(1+Numbers!$B$4/12)^(Numbers!$B$5*12-12*'30 Year IRR'!A3)*(1-1/(1+Numbers!$B$4/12)^(12*'30 Year IRR'!A3))/(Numbers!$B$4/12)),0)</f>
        <v>2791.62426352701</v>
      </c>
      <c r="C4" s="16">
        <f>IF(A4&lt;=Numbers!$B$5,Numbers!$E$4*(1/(1+Numbers!$B$4/12))^(12*Numbers!$B$5-12*'30 Year IRR'!A4)*(1-1/(1+Numbers!$B$4/12)^(12*'30 Year IRR'!A4))/(Numbers!$B$4/12)-Numbers!$E$4*(1/(1+Numbers!$B$4/12))^(12*Numbers!$B$5-12*('30 Year IRR'!A4-1))*(1-1/(1+Numbers!$B$4/12)^(12*('30 Year IRR'!A4-1)))/(Numbers!$B$4/12),0)</f>
        <v>1265.6691033169284</v>
      </c>
      <c r="D4" s="16">
        <f>IF(SUM($C$3:C3)/Numbers!$E$3&lt;Numbers!$B$10,12*Numbers!$E$7,0)</f>
        <v>320.62499999999994</v>
      </c>
      <c r="E4" s="16">
        <f>12*Numbers!$B$15*(1-Numbers!$B$33)*(1+Numbers!$B$30)^('30 Year IRR'!A4-1)-('30 Year IRR'!B4+'30 Year IRR'!C4+'30 Year IRR'!D4+12*(Numbers!$E$8+Numbers!$E$9)*(1+Numbers!$B$30)^('30 Year IRR'!A4-1)+12*(1-Numbers!$B$33)*Numbers!$B$16*(1+Numbers!$B$30)^('30 Year IRR'!A4-1)+12*Numbers!$B$33*Numbers!$B$19*(1+Numbers!$B$30)^('30 Year IRR'!A4-1))-Numbers!B11*Numbers!B15</f>
        <v>2754.0816331560618</v>
      </c>
      <c r="F4" s="16">
        <f>Numbers!$B$35*('30 Year IRR'!E4+'30 Year IRR'!C4-IF(A4&lt;27.5,Numbers!$E$14,0))</f>
        <v>386.75586593642936</v>
      </c>
      <c r="G4" s="16">
        <f>E4-F4</f>
        <v>2367.3257672196323</v>
      </c>
      <c r="H4" s="16"/>
    </row>
    <row r="5" spans="1:9" x14ac:dyDescent="0.25">
      <c r="A5" s="17">
        <v>2</v>
      </c>
      <c r="B5" s="16">
        <f>IF(A5&lt;=Numbers!$B$5,Numbers!$E$4*(12*'30 Year IRR'!A5-1/(1+Numbers!$B$4/12)^(Numbers!$B$5*12-12*'30 Year IRR'!A5)*(1-1/(1+Numbers!$B$4/12)^(12*'30 Year IRR'!A5))/(Numbers!$B$4/12))-Numbers!$E$4*(12*'30 Year IRR'!A4-1/(1+Numbers!$B$4/12)^(Numbers!$B$5*12-12*'30 Year IRR'!A4)*(1-1/(1+Numbers!$B$4/12)^(12*'30 Year IRR'!A4))/(Numbers!$B$4/12)),0)</f>
        <v>2740.7152306315047</v>
      </c>
      <c r="C5" s="16">
        <f>IF(A5&lt;=Numbers!$B$5,Numbers!$E$4*(1/(1+Numbers!$B$4/12))^(12*Numbers!$B$5-12*'30 Year IRR'!A5)*(1-1/(1+Numbers!$B$4/12)^(12*'30 Year IRR'!A5))/(Numbers!$B$4/12)-Numbers!$E$4*(1/(1+Numbers!$B$4/12))^(12*Numbers!$B$5-12*('30 Year IRR'!A5-1))*(1-1/(1+Numbers!$B$4/12)^(12*('30 Year IRR'!A5-1)))/(Numbers!$B$4/12),0)</f>
        <v>1316.5781362124328</v>
      </c>
      <c r="D5" s="16">
        <f>IF(SUM($C$3:C4)/Numbers!$E$3&lt;Numbers!$B$10,12*Numbers!$E$7,0)</f>
        <v>320.62499999999994</v>
      </c>
      <c r="E5" s="16">
        <f>12*Numbers!$B$15*(1-Numbers!$B$33)*(1+Numbers!$B$30)^('30 Year IRR'!A5-1)-('30 Year IRR'!B5+'30 Year IRR'!C5+'30 Year IRR'!D5+12*(Numbers!$E$8+Numbers!$E$9)*(1+Numbers!$B$30)^('30 Year IRR'!A5-1)+12*(1-Numbers!$B$33)*Numbers!$B$16*(1+Numbers!$B$30)^('30 Year IRR'!A5-1)+12*Numbers!$B$33*Numbers!$B$19*(1+Numbers!$B$30)^('30 Year IRR'!A5-1))</f>
        <v>5344.721633156063</v>
      </c>
      <c r="F5" s="16">
        <f>Numbers!$B$35*('30 Year IRR'!E5+'30 Year IRR'!C5-IF(A5&lt;27.5,Numbers!$E$14,0))</f>
        <v>1047.1431241603059</v>
      </c>
      <c r="G5" s="16">
        <f t="shared" ref="G5:G12" si="0">E5-F5</f>
        <v>4297.5785089957571</v>
      </c>
      <c r="H5" s="16"/>
    </row>
    <row r="6" spans="1:9" x14ac:dyDescent="0.25">
      <c r="A6" s="17">
        <v>3</v>
      </c>
      <c r="B6" s="16">
        <f>IF(A6&lt;=Numbers!$B$5,Numbers!$E$4*(12*'30 Year IRR'!A6-1/(1+Numbers!$B$4/12)^(Numbers!$B$5*12-12*'30 Year IRR'!A6)*(1-1/(1+Numbers!$B$4/12)^(12*'30 Year IRR'!A6))/(Numbers!$B$4/12))-Numbers!$E$4*(12*'30 Year IRR'!A5-1/(1+Numbers!$B$4/12)^(Numbers!$B$5*12-12*'30 Year IRR'!A5)*(1-1/(1+Numbers!$B$4/12)^(12*'30 Year IRR'!A5))/(Numbers!$B$4/12)),0)</f>
        <v>2687.7584827182409</v>
      </c>
      <c r="C6" s="16">
        <f>IF(A6&lt;=Numbers!$B$5,Numbers!$E$4*(1/(1+Numbers!$B$4/12))^(12*Numbers!$B$5-12*'30 Year IRR'!A6)*(1-1/(1+Numbers!$B$4/12)^(12*'30 Year IRR'!A6))/(Numbers!$B$4/12)-Numbers!$E$4*(1/(1+Numbers!$B$4/12))^(12*Numbers!$B$5-12*('30 Year IRR'!A6-1))*(1-1/(1+Numbers!$B$4/12)^(12*('30 Year IRR'!A6-1)))/(Numbers!$B$4/12),0)</f>
        <v>1369.5348841256937</v>
      </c>
      <c r="D6" s="16">
        <f>IF(SUM($C$3:C5)/Numbers!$E$3&lt;Numbers!$B$10,12*Numbers!$E$7,0)</f>
        <v>320.62499999999994</v>
      </c>
      <c r="E6" s="16">
        <f>12*Numbers!$B$15*(1-Numbers!$B$33)*(1+Numbers!$B$30)^('30 Year IRR'!A6-1)-('30 Year IRR'!B6+'30 Year IRR'!C6+'30 Year IRR'!D6+12*(Numbers!$E$8+Numbers!$E$9)*(1+Numbers!$B$30)^('30 Year IRR'!A6-1)+12*(1-Numbers!$B$33)*Numbers!$B$16*(1+Numbers!$B$30)^('30 Year IRR'!A6-1)+12*Numbers!$B$33*Numbers!$B$19*(1+Numbers!$B$30)^('30 Year IRR'!A6-1))</f>
        <v>5539.1744331560667</v>
      </c>
      <c r="F6" s="16">
        <f>Numbers!$B$35*('30 Year IRR'!E6+'30 Year IRR'!C6-IF(A6&lt;27.5,Numbers!$E$14,0))</f>
        <v>1108.9955111386221</v>
      </c>
      <c r="G6" s="16">
        <f t="shared" si="0"/>
        <v>4430.1789220174451</v>
      </c>
    </row>
    <row r="7" spans="1:9" x14ac:dyDescent="0.25">
      <c r="A7" s="17">
        <v>4</v>
      </c>
      <c r="B7" s="16">
        <f>IF(A7&lt;=Numbers!$B$5,Numbers!$E$4*(12*'30 Year IRR'!A7-1/(1+Numbers!$B$4/12)^(Numbers!$B$5*12-12*'30 Year IRR'!A7)*(1-1/(1+Numbers!$B$4/12)^(12*'30 Year IRR'!A7))/(Numbers!$B$4/12))-Numbers!$E$4*(12*'30 Year IRR'!A6-1/(1+Numbers!$B$4/12)^(Numbers!$B$5*12-12*'30 Year IRR'!A6)*(1-1/(1+Numbers!$B$4/12)^(12*'30 Year IRR'!A6))/(Numbers!$B$4/12)),0)</f>
        <v>2632.6716545063646</v>
      </c>
      <c r="C7" s="16">
        <f>IF(A7&lt;=Numbers!$B$5,Numbers!$E$4*(1/(1+Numbers!$B$4/12))^(12*Numbers!$B$5-12*'30 Year IRR'!A7)*(1-1/(1+Numbers!$B$4/12)^(12*'30 Year IRR'!A7))/(Numbers!$B$4/12)-Numbers!$E$4*(1/(1+Numbers!$B$4/12))^(12*Numbers!$B$5-12*('30 Year IRR'!A7-1))*(1-1/(1+Numbers!$B$4/12)^(12*('30 Year IRR'!A7-1)))/(Numbers!$B$4/12),0)</f>
        <v>1424.6217123375714</v>
      </c>
      <c r="D7" s="16">
        <f>IF(SUM($C$3:C6)/Numbers!$E$3&lt;Numbers!$B$10,12*Numbers!$E$7,0)</f>
        <v>320.62499999999994</v>
      </c>
      <c r="E7" s="16">
        <f>12*Numbers!$B$15*(1-Numbers!$B$33)*(1+Numbers!$B$30)^('30 Year IRR'!A7-1)-('30 Year IRR'!B7+'30 Year IRR'!C7+'30 Year IRR'!D7+12*(Numbers!$E$8+Numbers!$E$9)*(1+Numbers!$B$30)^('30 Year IRR'!A7-1)+12*(1-Numbers!$B$33)*Numbers!$B$16*(1+Numbers!$B$30)^('30 Year IRR'!A7-1)+12*Numbers!$B$33*Numbers!$B$19*(1+Numbers!$B$30)^('30 Year IRR'!A7-1))</f>
        <v>5737.5162891560622</v>
      </c>
      <c r="F7" s="16">
        <f>Numbers!$B$35*('30 Year IRR'!E7+'30 Year IRR'!C7-IF(A7&lt;27.5,Numbers!$E$14,0))</f>
        <v>1172.3526821915902</v>
      </c>
      <c r="G7" s="16">
        <f t="shared" si="0"/>
        <v>4565.1636069644719</v>
      </c>
    </row>
    <row r="8" spans="1:9" x14ac:dyDescent="0.25">
      <c r="A8" s="17">
        <v>5</v>
      </c>
      <c r="B8" s="16">
        <f>IF(A8&lt;=Numbers!$B$5,Numbers!$E$4*(12*'30 Year IRR'!A8-1/(1+Numbers!$B$4/12)^(Numbers!$B$5*12-12*'30 Year IRR'!A8)*(1-1/(1+Numbers!$B$4/12)^(12*'30 Year IRR'!A8))/(Numbers!$B$4/12))-Numbers!$E$4*(12*'30 Year IRR'!A7-1/(1+Numbers!$B$4/12)^(Numbers!$B$5*12-12*'30 Year IRR'!A7)*(1-1/(1+Numbers!$B$4/12)^(12*'30 Year IRR'!A7))/(Numbers!$B$4/12)),0)</f>
        <v>2575.3690677346713</v>
      </c>
      <c r="C8" s="16">
        <f>IF(A8&lt;=Numbers!$B$5,Numbers!$E$4*(1/(1+Numbers!$B$4/12))^(12*Numbers!$B$5-12*'30 Year IRR'!A8)*(1-1/(1+Numbers!$B$4/12)^(12*'30 Year IRR'!A8))/(Numbers!$B$4/12)-Numbers!$E$4*(1/(1+Numbers!$B$4/12))^(12*Numbers!$B$5-12*('30 Year IRR'!A8-1))*(1-1/(1+Numbers!$B$4/12)^(12*('30 Year IRR'!A8-1)))/(Numbers!$B$4/12),0)</f>
        <v>1481.9242991092606</v>
      </c>
      <c r="D8" s="16">
        <f>IF(SUM($C$3:C7)/Numbers!$E$3&lt;Numbers!$B$10,12*Numbers!$E$7,0)</f>
        <v>320.62499999999994</v>
      </c>
      <c r="E8" s="16">
        <f>12*Numbers!$B$15*(1-Numbers!$B$33)*(1+Numbers!$B$30)^('30 Year IRR'!A8-1)-('30 Year IRR'!B8+'30 Year IRR'!C8+'30 Year IRR'!D8+12*(Numbers!$E$8+Numbers!$E$9)*(1+Numbers!$B$30)^('30 Year IRR'!A8-1)+12*(1-Numbers!$B$33)*Numbers!$B$16*(1+Numbers!$B$30)^('30 Year IRR'!A8-1)+12*Numbers!$B$33*Numbers!$B$19*(1+Numbers!$B$30)^('30 Year IRR'!A8-1))</f>
        <v>5939.8249822760681</v>
      </c>
      <c r="F8" s="16">
        <f>Numbers!$B$35*('30 Year IRR'!E8+'30 Year IRR'!C8-IF(A8&lt;27.5,Numbers!$E$14,0))</f>
        <v>1237.2555021645139</v>
      </c>
      <c r="G8" s="16">
        <f t="shared" si="0"/>
        <v>4702.5694801115542</v>
      </c>
    </row>
    <row r="9" spans="1:9" x14ac:dyDescent="0.25">
      <c r="A9" s="17">
        <v>6</v>
      </c>
      <c r="B9" s="16">
        <f>IF(A9&lt;=Numbers!$B$5,Numbers!$E$4*(12*'30 Year IRR'!A9-1/(1+Numbers!$B$4/12)^(Numbers!$B$5*12-12*'30 Year IRR'!A9)*(1-1/(1+Numbers!$B$4/12)^(12*'30 Year IRR'!A9))/(Numbers!$B$4/12))-Numbers!$E$4*(12*'30 Year IRR'!A8-1/(1+Numbers!$B$4/12)^(Numbers!$B$5*12-12*'30 Year IRR'!A8)*(1-1/(1+Numbers!$B$4/12)^(12*'30 Year IRR'!A8))/(Numbers!$B$4/12)),0)</f>
        <v>2515.7615979036655</v>
      </c>
      <c r="C9" s="16">
        <f>IF(A9&lt;=Numbers!$B$5,Numbers!$E$4*(1/(1+Numbers!$B$4/12))^(12*Numbers!$B$5-12*'30 Year IRR'!A9)*(1-1/(1+Numbers!$B$4/12)^(12*'30 Year IRR'!A9))/(Numbers!$B$4/12)-Numbers!$E$4*(1/(1+Numbers!$B$4/12))^(12*Numbers!$B$5-12*('30 Year IRR'!A9-1))*(1-1/(1+Numbers!$B$4/12)^(12*('30 Year IRR'!A9-1)))/(Numbers!$B$4/12),0)</f>
        <v>1541.5317689402618</v>
      </c>
      <c r="D9" s="16">
        <f>IF(SUM($C$3:C8)/Numbers!$E$3&lt;Numbers!$B$10,12*Numbers!$E$7,0)</f>
        <v>320.62499999999994</v>
      </c>
      <c r="E9" s="16">
        <f>12*Numbers!$B$15*(1-Numbers!$B$33)*(1+Numbers!$B$30)^('30 Year IRR'!A9-1)-('30 Year IRR'!B9+'30 Year IRR'!C9+'30 Year IRR'!D9+12*(Numbers!$E$8+Numbers!$E$9)*(1+Numbers!$B$30)^('30 Year IRR'!A9-1)+12*(1-Numbers!$B$33)*Numbers!$B$16*(1+Numbers!$B$30)^('30 Year IRR'!A9-1)+12*Numbers!$B$33*Numbers!$B$19*(1+Numbers!$B$30)^('30 Year IRR'!A9-1))</f>
        <v>6146.179849258473</v>
      </c>
      <c r="F9" s="16">
        <f>Numbers!$B$35*('30 Year IRR'!E9+'30 Year IRR'!C9-IF(A9&lt;27.5,Numbers!$E$14,0))</f>
        <v>1303.7460863678657</v>
      </c>
      <c r="G9" s="16">
        <f t="shared" si="0"/>
        <v>4842.4337628906069</v>
      </c>
    </row>
    <row r="10" spans="1:9" x14ac:dyDescent="0.25">
      <c r="A10" s="17">
        <v>7</v>
      </c>
      <c r="B10" s="16">
        <f>IF(A10&lt;=Numbers!$B$5,Numbers!$E$4*(12*'30 Year IRR'!A10-1/(1+Numbers!$B$4/12)^(Numbers!$B$5*12-12*'30 Year IRR'!A10)*(1-1/(1+Numbers!$B$4/12)^(12*'30 Year IRR'!A10))/(Numbers!$B$4/12))-Numbers!$E$4*(12*'30 Year IRR'!A9-1/(1+Numbers!$B$4/12)^(Numbers!$B$5*12-12*'30 Year IRR'!A9)*(1-1/(1+Numbers!$B$4/12)^(12*'30 Year IRR'!A9))/(Numbers!$B$4/12)),0)</f>
        <v>2453.7565356573068</v>
      </c>
      <c r="C10" s="16">
        <f>IF(A10&lt;=Numbers!$B$5,Numbers!$E$4*(1/(1+Numbers!$B$4/12))^(12*Numbers!$B$5-12*'30 Year IRR'!A10)*(1-1/(1+Numbers!$B$4/12)^(12*'30 Year IRR'!A10))/(Numbers!$B$4/12)-Numbers!$E$4*(1/(1+Numbers!$B$4/12))^(12*Numbers!$B$5-12*('30 Year IRR'!A10-1))*(1-1/(1+Numbers!$B$4/12)^(12*('30 Year IRR'!A10-1)))/(Numbers!$B$4/12),0)</f>
        <v>1603.5368311866241</v>
      </c>
      <c r="D10" s="16">
        <f>IF(SUM($C$3:C9)/Numbers!$E$3&lt;Numbers!$B$10,12*Numbers!$E$7,0)</f>
        <v>320.62499999999994</v>
      </c>
      <c r="E10" s="16">
        <f>12*Numbers!$B$15*(1-Numbers!$B$33)*(1+Numbers!$B$30)^('30 Year IRR'!A10-1)-('30 Year IRR'!B10+'30 Year IRR'!C10+'30 Year IRR'!D10+12*(Numbers!$E$8+Numbers!$E$9)*(1+Numbers!$B$30)^('30 Year IRR'!A10-1)+12*(1-Numbers!$B$33)*Numbers!$B$16*(1+Numbers!$B$30)^('30 Year IRR'!A10-1)+12*Numbers!$B$33*Numbers!$B$19*(1+Numbers!$B$30)^('30 Year IRR'!A10-1))</f>
        <v>6356.6618135805165</v>
      </c>
      <c r="F10" s="16">
        <f>Numbers!$B$35*('30 Year IRR'!E10+'30 Year IRR'!C10-IF(A10&lt;27.5,Numbers!$E$14,0))</f>
        <v>1371.8678430099671</v>
      </c>
      <c r="G10" s="16">
        <f t="shared" si="0"/>
        <v>4984.7939705705494</v>
      </c>
    </row>
    <row r="11" spans="1:9" x14ac:dyDescent="0.25">
      <c r="A11" s="17">
        <v>8</v>
      </c>
      <c r="B11" s="16">
        <f>IF(A11&lt;=Numbers!$B$5,Numbers!$E$4*(12*'30 Year IRR'!A11-1/(1+Numbers!$B$4/12)^(Numbers!$B$5*12-12*'30 Year IRR'!A11)*(1-1/(1+Numbers!$B$4/12)^(12*'30 Year IRR'!A11))/(Numbers!$B$4/12))-Numbers!$E$4*(12*'30 Year IRR'!A10-1/(1+Numbers!$B$4/12)^(Numbers!$B$5*12-12*'30 Year IRR'!A10)*(1-1/(1+Numbers!$B$4/12)^(12*'30 Year IRR'!A10))/(Numbers!$B$4/12)),0)</f>
        <v>2389.257442589369</v>
      </c>
      <c r="C11" s="16">
        <f>IF(A11&lt;=Numbers!$B$5,Numbers!$E$4*(1/(1+Numbers!$B$4/12))^(12*Numbers!$B$5-12*'30 Year IRR'!A11)*(1-1/(1+Numbers!$B$4/12)^(12*'30 Year IRR'!A11))/(Numbers!$B$4/12)-Numbers!$E$4*(1/(1+Numbers!$B$4/12))^(12*Numbers!$B$5-12*('30 Year IRR'!A11-1))*(1-1/(1+Numbers!$B$4/12)^(12*('30 Year IRR'!A11-1)))/(Numbers!$B$4/12),0)</f>
        <v>1668.0359242545601</v>
      </c>
      <c r="D11" s="16">
        <f>IF(SUM($C$3:C10)/Numbers!$E$3&lt;Numbers!$B$10,12*Numbers!$E$7,0)</f>
        <v>320.62499999999994</v>
      </c>
      <c r="E11" s="16">
        <f>12*Numbers!$B$15*(1-Numbers!$B$33)*(1+Numbers!$B$30)^('30 Year IRR'!A11-1)-('30 Year IRR'!B11+'30 Year IRR'!C11+'30 Year IRR'!D11+12*(Numbers!$E$8+Numbers!$E$9)*(1+Numbers!$B$30)^('30 Year IRR'!A11-1)+12*(1-Numbers!$B$33)*Numbers!$B$16*(1+Numbers!$B$30)^('30 Year IRR'!A11-1)+12*Numbers!$B$33*Numbers!$B$19*(1+Numbers!$B$30)^('30 Year IRR'!A11-1))</f>
        <v>6571.353417189006</v>
      </c>
      <c r="F11" s="16">
        <f>Numbers!$B$35*('30 Year IRR'!E11+'30 Year IRR'!C11-IF(A11&lt;27.5,Numbers!$E$14,0))</f>
        <v>1441.6655171790735</v>
      </c>
      <c r="G11" s="16">
        <f t="shared" si="0"/>
        <v>5129.6879000099325</v>
      </c>
    </row>
    <row r="12" spans="1:9" x14ac:dyDescent="0.25">
      <c r="A12" s="17">
        <v>9</v>
      </c>
      <c r="B12" s="16">
        <f>IF(A12&lt;=Numbers!$B$5,Numbers!$E$4*(12*'30 Year IRR'!A12-1/(1+Numbers!$B$4/12)^(Numbers!$B$5*12-12*'30 Year IRR'!A12)*(1-1/(1+Numbers!$B$4/12)^(12*'30 Year IRR'!A12))/(Numbers!$B$4/12))-Numbers!$E$4*(12*'30 Year IRR'!A11-1/(1+Numbers!$B$4/12)^(Numbers!$B$5*12-12*'30 Year IRR'!A11)*(1-1/(1+Numbers!$B$4/12)^(12*'30 Year IRR'!A11))/(Numbers!$B$4/12)),0)</f>
        <v>2322.164001249741</v>
      </c>
      <c r="C12" s="16">
        <f>IF(A12&lt;=Numbers!$B$5,Numbers!$E$4*(1/(1+Numbers!$B$4/12))^(12*Numbers!$B$5-12*'30 Year IRR'!A12)*(1-1/(1+Numbers!$B$4/12)^(12*'30 Year IRR'!A12))/(Numbers!$B$4/12)-Numbers!$E$4*(1/(1+Numbers!$B$4/12))^(12*Numbers!$B$5-12*('30 Year IRR'!A12-1))*(1-1/(1+Numbers!$B$4/12)^(12*('30 Year IRR'!A12-1)))/(Numbers!$B$4/12),0)</f>
        <v>1735.1293655941881</v>
      </c>
      <c r="D12" s="16">
        <f>IF(SUM($C$3:C11)/Numbers!$E$3&lt;Numbers!$B$10,12*Numbers!$E$7,0)</f>
        <v>320.62499999999994</v>
      </c>
      <c r="E12" s="16">
        <f>12*Numbers!$B$15*(1-Numbers!$B$33)*(1+Numbers!$B$30)^('30 Year IRR'!A12-1)-('30 Year IRR'!B12+'30 Year IRR'!C12+'30 Year IRR'!D12+12*(Numbers!$E$8+Numbers!$E$9)*(1+Numbers!$B$30)^('30 Year IRR'!A12-1)+12*(1-Numbers!$B$33)*Numbers!$B$16*(1+Numbers!$B$30)^('30 Year IRR'!A12-1)+12*Numbers!$B$33*Numbers!$B$19*(1+Numbers!$B$30)^('30 Year IRR'!A12-1))</f>
        <v>6790.3388528696651</v>
      </c>
      <c r="F12" s="16">
        <f>Numbers!$B$35*('30 Year IRR'!E12+'30 Year IRR'!C12-IF(A12&lt;27.5,Numbers!$E$14,0))</f>
        <v>1513.1852364341453</v>
      </c>
      <c r="G12" s="16">
        <f t="shared" si="0"/>
        <v>5277.1536164355202</v>
      </c>
    </row>
    <row r="13" spans="1:9" x14ac:dyDescent="0.25">
      <c r="A13" s="17">
        <v>10</v>
      </c>
      <c r="B13" s="16">
        <f>IF(A13&lt;=Numbers!$B$5,Numbers!$E$4*(12*'30 Year IRR'!A13-1/(1+Numbers!$B$4/12)^(Numbers!$B$5*12-12*'30 Year IRR'!A13)*(1-1/(1+Numbers!$B$4/12)^(12*'30 Year IRR'!A13))/(Numbers!$B$4/12))-Numbers!$E$4*(12*'30 Year IRR'!A12-1/(1+Numbers!$B$4/12)^(Numbers!$B$5*12-12*'30 Year IRR'!A12)*(1-1/(1+Numbers!$B$4/12)^(12*'30 Year IRR'!A12))/(Numbers!$B$4/12)),0)</f>
        <v>2252.371859117553</v>
      </c>
      <c r="C13" s="16">
        <f>IF(A13&lt;=Numbers!$B$5,Numbers!$E$4*(1/(1+Numbers!$B$4/12))^(12*Numbers!$B$5-12*'30 Year IRR'!A13)*(1-1/(1+Numbers!$B$4/12)^(12*'30 Year IRR'!A13))/(Numbers!$B$4/12)-Numbers!$E$4*(1/(1+Numbers!$B$4/12))^(12*Numbers!$B$5-12*('30 Year IRR'!A13-1))*(1-1/(1+Numbers!$B$4/12)^(12*('30 Year IRR'!A13-1)))/(Numbers!$B$4/12),0)</f>
        <v>1804.9215077263634</v>
      </c>
      <c r="D13" s="16">
        <f>IF(SUM($C$3:C12)/Numbers!$E$3&lt;Numbers!$B$10,12*Numbers!$E$7,0)</f>
        <v>320.62499999999994</v>
      </c>
      <c r="E13" s="16">
        <f>12*Numbers!$B$15*(1-Numbers!$B$33)*(1+Numbers!$B$30)^('30 Year IRR'!A13-1)-('30 Year IRR'!B13+'30 Year IRR'!C13+'30 Year IRR'!D13+12*(Numbers!$E$8+Numbers!$E$9)*(1+Numbers!$B$30)^('30 Year IRR'!A13-1)+12*(1-Numbers!$B$33)*Numbers!$B$16*(1+Numbers!$B$30)^('30 Year IRR'!A13-1)+12*Numbers!$B$33*Numbers!$B$19*(1+Numbers!$B$30)^('30 Year IRR'!A13-1))</f>
        <v>7013.7039972639486</v>
      </c>
      <c r="F13" s="16">
        <f>Numbers!$B$35*('30 Year IRR'!E13+'30 Year IRR'!C13-IF(A13&lt;27.5,Numbers!$E$14,0))</f>
        <v>1586.47455806576</v>
      </c>
      <c r="G13" s="16">
        <f>E13-F13+D21</f>
        <v>39010.02975786016</v>
      </c>
    </row>
    <row r="14" spans="1:9" x14ac:dyDescent="0.25">
      <c r="A14" s="17"/>
      <c r="B14" s="16"/>
      <c r="C14" s="16"/>
      <c r="D14" s="16"/>
      <c r="E14" s="16"/>
      <c r="F14" s="16"/>
      <c r="G14" s="16"/>
    </row>
    <row r="15" spans="1:9" x14ac:dyDescent="0.25">
      <c r="A15" s="17"/>
      <c r="B15" s="16"/>
      <c r="C15" s="18" t="s">
        <v>53</v>
      </c>
      <c r="D15" s="16">
        <f>(1+Numbers!$B$31)^10*(Numbers!B3+Numbers!B8)</f>
        <v>107513.31034752974</v>
      </c>
      <c r="F15" s="1" t="s">
        <v>63</v>
      </c>
      <c r="G15" s="16">
        <f>SUM(G4:G13)-D21</f>
        <v>46024.114974413671</v>
      </c>
    </row>
    <row r="16" spans="1:9" x14ac:dyDescent="0.25">
      <c r="A16" s="17"/>
      <c r="B16" s="16"/>
      <c r="C16" s="1" t="s">
        <v>61</v>
      </c>
      <c r="D16" s="16">
        <f>(1-Numbers!B23)*'10 Year IRR'!D15-Numbers!B24</f>
        <v>98062.511726677956</v>
      </c>
    </row>
    <row r="17" spans="1:7" x14ac:dyDescent="0.25">
      <c r="A17" s="17"/>
      <c r="B17" s="16"/>
      <c r="C17" s="1" t="s">
        <v>56</v>
      </c>
      <c r="D17" s="16">
        <f>Numbers!E13-10*Numbers!E14</f>
        <v>58272.727272727279</v>
      </c>
    </row>
    <row r="18" spans="1:7" x14ac:dyDescent="0.25">
      <c r="A18" s="17"/>
      <c r="B18" s="16"/>
      <c r="C18" s="18" t="s">
        <v>57</v>
      </c>
      <c r="D18" s="16">
        <f>(D16-Numbers!E13)*Numbers!B25</f>
        <v>2259.3767590016932</v>
      </c>
    </row>
    <row r="19" spans="1:7" x14ac:dyDescent="0.25">
      <c r="A19" s="17"/>
      <c r="B19" s="16"/>
      <c r="C19" s="18" t="s">
        <v>60</v>
      </c>
      <c r="D19" s="16">
        <f>Numbers!B26*(Numbers!E13-'10 Year IRR'!D17)</f>
        <v>6181.8181818181802</v>
      </c>
    </row>
    <row r="20" spans="1:7" x14ac:dyDescent="0.25">
      <c r="A20" s="17"/>
      <c r="B20" s="16"/>
      <c r="C20" s="18" t="s">
        <v>58</v>
      </c>
      <c r="D20" s="16">
        <f>Numbers!E3-SUM(C4:C13)</f>
        <v>56038.516467196117</v>
      </c>
    </row>
    <row r="21" spans="1:7" x14ac:dyDescent="0.25">
      <c r="A21" s="17"/>
      <c r="B21" s="16"/>
      <c r="C21" s="18" t="s">
        <v>59</v>
      </c>
      <c r="D21" s="16">
        <f>D16-D18-D19-D20</f>
        <v>33582.800318661968</v>
      </c>
    </row>
    <row r="22" spans="1:7" x14ac:dyDescent="0.25">
      <c r="A22" s="17"/>
      <c r="B22" s="16"/>
    </row>
    <row r="23" spans="1:7" x14ac:dyDescent="0.25">
      <c r="A23" s="17"/>
      <c r="B23" s="16"/>
      <c r="C23" s="18" t="s">
        <v>62</v>
      </c>
      <c r="D23" s="19">
        <f>IRR(G3:G13)</f>
        <v>0.36850062531938432</v>
      </c>
    </row>
    <row r="24" spans="1:7" x14ac:dyDescent="0.25">
      <c r="A24" s="17"/>
      <c r="B24" s="16"/>
      <c r="C24" s="16"/>
      <c r="D24" s="16"/>
      <c r="E24" s="16"/>
      <c r="F24" s="16"/>
      <c r="G24" s="16"/>
    </row>
    <row r="25" spans="1:7" x14ac:dyDescent="0.25">
      <c r="A25" s="17"/>
      <c r="B25" s="16"/>
      <c r="C25" s="16"/>
      <c r="D25" s="16"/>
      <c r="E25" s="16"/>
      <c r="F25" s="16"/>
      <c r="G25" s="16"/>
    </row>
    <row r="26" spans="1:7" x14ac:dyDescent="0.25">
      <c r="A26" s="17"/>
      <c r="B26" s="16"/>
      <c r="C26" s="16"/>
      <c r="D26" s="16"/>
      <c r="E26" s="16"/>
      <c r="F26" s="16"/>
      <c r="G26" s="16"/>
    </row>
    <row r="27" spans="1:7" x14ac:dyDescent="0.25">
      <c r="A27" s="17"/>
      <c r="B27" s="16"/>
      <c r="C27" s="16"/>
      <c r="D27" s="16"/>
      <c r="E27" s="16"/>
      <c r="F27" s="16"/>
      <c r="G27" s="16"/>
    </row>
    <row r="28" spans="1:7" x14ac:dyDescent="0.25">
      <c r="A28" s="17"/>
      <c r="B28" s="16"/>
      <c r="C28" s="16"/>
      <c r="D28" s="16"/>
      <c r="E28" s="16"/>
      <c r="F28" s="16"/>
      <c r="G28" s="16"/>
    </row>
    <row r="29" spans="1:7" x14ac:dyDescent="0.25">
      <c r="A29" s="17"/>
      <c r="B29" s="16"/>
      <c r="C29" s="16"/>
      <c r="D29" s="16"/>
      <c r="E29" s="16"/>
      <c r="F29" s="16"/>
      <c r="G29" s="16"/>
    </row>
    <row r="30" spans="1:7" x14ac:dyDescent="0.25">
      <c r="A30" s="17"/>
      <c r="B30" s="16"/>
      <c r="C30" s="16"/>
      <c r="D30" s="16"/>
      <c r="E30" s="16"/>
      <c r="F30" s="16"/>
      <c r="G30" s="16"/>
    </row>
    <row r="31" spans="1:7" x14ac:dyDescent="0.25">
      <c r="A31" s="17"/>
      <c r="B31" s="16"/>
      <c r="C31" s="16"/>
      <c r="D31" s="16"/>
      <c r="E31" s="16"/>
      <c r="F31" s="16"/>
      <c r="G31" s="16"/>
    </row>
    <row r="32" spans="1:7" x14ac:dyDescent="0.25">
      <c r="A32" s="17"/>
      <c r="B32" s="16"/>
      <c r="C32" s="16"/>
      <c r="D32" s="16"/>
      <c r="E32" s="16"/>
      <c r="F32" s="16"/>
      <c r="G32" s="16"/>
    </row>
    <row r="33" spans="1:7" x14ac:dyDescent="0.25">
      <c r="A33" s="17"/>
      <c r="B33" s="16"/>
      <c r="C33" s="16"/>
      <c r="D33" s="16"/>
      <c r="E33" s="16"/>
      <c r="F33" s="16"/>
      <c r="G33" s="16"/>
    </row>
    <row r="34" spans="1:7" x14ac:dyDescent="0.25">
      <c r="A34" s="16"/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>
      <selection activeCell="E5" sqref="E5"/>
    </sheetView>
  </sheetViews>
  <sheetFormatPr defaultRowHeight="15" x14ac:dyDescent="0.25"/>
  <cols>
    <col min="1" max="1" width="9.28515625" customWidth="1"/>
    <col min="2" max="4" width="16.7109375" customWidth="1"/>
    <col min="5" max="5" width="18.28515625" customWidth="1"/>
    <col min="6" max="7" width="16.7109375" customWidth="1"/>
    <col min="8" max="8" width="27.7109375" customWidth="1"/>
    <col min="9" max="9" width="27.42578125" customWidth="1"/>
  </cols>
  <sheetData>
    <row r="1" spans="1:9" x14ac:dyDescent="0.25">
      <c r="A1" s="1" t="s">
        <v>48</v>
      </c>
      <c r="B1" s="1" t="s">
        <v>54</v>
      </c>
      <c r="C1" s="1" t="s">
        <v>52</v>
      </c>
      <c r="D1" s="1" t="s">
        <v>55</v>
      </c>
      <c r="E1" s="1" t="s">
        <v>50</v>
      </c>
      <c r="F1" s="1" t="s">
        <v>51</v>
      </c>
      <c r="G1" s="1" t="s">
        <v>49</v>
      </c>
    </row>
    <row r="3" spans="1:9" x14ac:dyDescent="0.25">
      <c r="A3" s="17">
        <v>0</v>
      </c>
      <c r="B3" s="16"/>
      <c r="C3" s="16"/>
      <c r="D3" s="16"/>
      <c r="E3" s="16"/>
      <c r="F3" s="16"/>
      <c r="G3" s="16">
        <f>-Numbers!E23</f>
        <v>-11750.000000000004</v>
      </c>
      <c r="I3" s="16"/>
    </row>
    <row r="4" spans="1:9" x14ac:dyDescent="0.25">
      <c r="A4" s="17">
        <v>1</v>
      </c>
      <c r="B4" s="16">
        <f>IF(A4&lt;=Numbers!$B$5,Numbers!$E$4*(12*'30 Year IRR'!A4-1/(1+Numbers!$B$4/12)^(Numbers!$B$5*12-12*'30 Year IRR'!A4)*(1-1/(1+Numbers!$B$4/12)^(12*'30 Year IRR'!A4))/(Numbers!$B$4/12))-Numbers!$E$4*(12*'30 Year IRR'!A3-1/(1+Numbers!$B$4/12)^(Numbers!$B$5*12-12*'30 Year IRR'!A3)*(1-1/(1+Numbers!$B$4/12)^(12*'30 Year IRR'!A3))/(Numbers!$B$4/12)),0)</f>
        <v>2791.62426352701</v>
      </c>
      <c r="C4" s="16">
        <f>IF(A4&lt;=Numbers!$B$5,Numbers!$E$4*(1/(1+Numbers!$B$4/12))^(12*Numbers!$B$5-12*'30 Year IRR'!A4)*(1-1/(1+Numbers!$B$4/12)^(12*'30 Year IRR'!A4))/(Numbers!$B$4/12)-Numbers!$E$4*(1/(1+Numbers!$B$4/12))^(12*Numbers!$B$5-12*('30 Year IRR'!A4-1))*(1-1/(1+Numbers!$B$4/12)^(12*('30 Year IRR'!A4-1)))/(Numbers!$B$4/12),0)</f>
        <v>1265.6691033169284</v>
      </c>
      <c r="D4" s="16">
        <f>IF(SUM($C$3:C3)/Numbers!$E$3&lt;Numbers!$B$10,12*Numbers!$E$7,0)</f>
        <v>320.62499999999994</v>
      </c>
      <c r="E4" s="16">
        <f>12*Numbers!$B$15*(1-Numbers!$B$33)*(1+Numbers!$B$30)^('30 Year IRR'!A4-1)-('30 Year IRR'!B4+'30 Year IRR'!C4+'30 Year IRR'!D4+12*(Numbers!$E$8+Numbers!$E$9)*(1+Numbers!$B$30)^('30 Year IRR'!A4-1)+12*(1-Numbers!$B$33)*Numbers!$B$16*(1+Numbers!$B$30)^('30 Year IRR'!A4-1)+12*Numbers!$B$33*Numbers!$B$19*(1+Numbers!$B$30)^('30 Year IRR'!A4-1))-Numbers!B11*Numbers!B15</f>
        <v>2754.0816331560618</v>
      </c>
      <c r="F4" s="16">
        <f>Numbers!$B$35*('30 Year IRR'!E4+'30 Year IRR'!C4-IF(A4&lt;27.5,Numbers!$E$14,0))</f>
        <v>386.75586593642936</v>
      </c>
      <c r="G4" s="16">
        <f>E4-F4</f>
        <v>2367.3257672196323</v>
      </c>
      <c r="H4" s="16"/>
    </row>
    <row r="5" spans="1:9" x14ac:dyDescent="0.25">
      <c r="A5" s="17">
        <v>2</v>
      </c>
      <c r="B5" s="16">
        <f>IF(A5&lt;=Numbers!$B$5,Numbers!$E$4*(12*'30 Year IRR'!A5-1/(1+Numbers!$B$4/12)^(Numbers!$B$5*12-12*'30 Year IRR'!A5)*(1-1/(1+Numbers!$B$4/12)^(12*'30 Year IRR'!A5))/(Numbers!$B$4/12))-Numbers!$E$4*(12*'30 Year IRR'!A4-1/(1+Numbers!$B$4/12)^(Numbers!$B$5*12-12*'30 Year IRR'!A4)*(1-1/(1+Numbers!$B$4/12)^(12*'30 Year IRR'!A4))/(Numbers!$B$4/12)),0)</f>
        <v>2740.7152306315047</v>
      </c>
      <c r="C5" s="16">
        <f>IF(A5&lt;=Numbers!$B$5,Numbers!$E$4*(1/(1+Numbers!$B$4/12))^(12*Numbers!$B$5-12*'30 Year IRR'!A5)*(1-1/(1+Numbers!$B$4/12)^(12*'30 Year IRR'!A5))/(Numbers!$B$4/12)-Numbers!$E$4*(1/(1+Numbers!$B$4/12))^(12*Numbers!$B$5-12*('30 Year IRR'!A5-1))*(1-1/(1+Numbers!$B$4/12)^(12*('30 Year IRR'!A5-1)))/(Numbers!$B$4/12),0)</f>
        <v>1316.5781362124328</v>
      </c>
      <c r="D5" s="16">
        <f>IF(SUM($C$3:C4)/Numbers!$E$3&lt;Numbers!$B$10,12*Numbers!$E$7,0)</f>
        <v>320.62499999999994</v>
      </c>
      <c r="E5" s="16">
        <f>12*Numbers!$B$15*(1-Numbers!$B$33)*(1+Numbers!$B$30)^('30 Year IRR'!A5-1)-('30 Year IRR'!B5+'30 Year IRR'!C5+'30 Year IRR'!D5+12*(Numbers!$E$8+Numbers!$E$9)*(1+Numbers!$B$30)^('30 Year IRR'!A5-1)+12*(1-Numbers!$B$33)*Numbers!$B$16*(1+Numbers!$B$30)^('30 Year IRR'!A5-1)+12*Numbers!$B$33*Numbers!$B$19*(1+Numbers!$B$30)^('30 Year IRR'!A5-1))</f>
        <v>5344.721633156063</v>
      </c>
      <c r="F5" s="16">
        <f>Numbers!$B$35*('30 Year IRR'!E5+'30 Year IRR'!C5-IF(A5&lt;27.5,Numbers!$E$14,0))</f>
        <v>1047.1431241603059</v>
      </c>
      <c r="G5" s="16">
        <f t="shared" ref="G5:G7" si="0">E5-F5</f>
        <v>4297.5785089957571</v>
      </c>
      <c r="H5" s="16"/>
    </row>
    <row r="6" spans="1:9" x14ac:dyDescent="0.25">
      <c r="A6" s="17">
        <v>3</v>
      </c>
      <c r="B6" s="16">
        <f>IF(A6&lt;=Numbers!$B$5,Numbers!$E$4*(12*'30 Year IRR'!A6-1/(1+Numbers!$B$4/12)^(Numbers!$B$5*12-12*'30 Year IRR'!A6)*(1-1/(1+Numbers!$B$4/12)^(12*'30 Year IRR'!A6))/(Numbers!$B$4/12))-Numbers!$E$4*(12*'30 Year IRR'!A5-1/(1+Numbers!$B$4/12)^(Numbers!$B$5*12-12*'30 Year IRR'!A5)*(1-1/(1+Numbers!$B$4/12)^(12*'30 Year IRR'!A5))/(Numbers!$B$4/12)),0)</f>
        <v>2687.7584827182409</v>
      </c>
      <c r="C6" s="16">
        <f>IF(A6&lt;=Numbers!$B$5,Numbers!$E$4*(1/(1+Numbers!$B$4/12))^(12*Numbers!$B$5-12*'30 Year IRR'!A6)*(1-1/(1+Numbers!$B$4/12)^(12*'30 Year IRR'!A6))/(Numbers!$B$4/12)-Numbers!$E$4*(1/(1+Numbers!$B$4/12))^(12*Numbers!$B$5-12*('30 Year IRR'!A6-1))*(1-1/(1+Numbers!$B$4/12)^(12*('30 Year IRR'!A6-1)))/(Numbers!$B$4/12),0)</f>
        <v>1369.5348841256937</v>
      </c>
      <c r="D6" s="16">
        <f>IF(SUM($C$3:C5)/Numbers!$E$3&lt;Numbers!$B$10,12*Numbers!$E$7,0)</f>
        <v>320.62499999999994</v>
      </c>
      <c r="E6" s="16">
        <f>12*Numbers!$B$15*(1-Numbers!$B$33)*(1+Numbers!$B$30)^('30 Year IRR'!A6-1)-('30 Year IRR'!B6+'30 Year IRR'!C6+'30 Year IRR'!D6+12*(Numbers!$E$8+Numbers!$E$9)*(1+Numbers!$B$30)^('30 Year IRR'!A6-1)+12*(1-Numbers!$B$33)*Numbers!$B$16*(1+Numbers!$B$30)^('30 Year IRR'!A6-1)+12*Numbers!$B$33*Numbers!$B$19*(1+Numbers!$B$30)^('30 Year IRR'!A6-1))</f>
        <v>5539.1744331560667</v>
      </c>
      <c r="F6" s="16">
        <f>Numbers!$B$35*('30 Year IRR'!E6+'30 Year IRR'!C6-IF(A6&lt;27.5,Numbers!$E$14,0))</f>
        <v>1108.9955111386221</v>
      </c>
      <c r="G6" s="16">
        <f t="shared" si="0"/>
        <v>4430.1789220174451</v>
      </c>
    </row>
    <row r="7" spans="1:9" x14ac:dyDescent="0.25">
      <c r="A7" s="17">
        <v>4</v>
      </c>
      <c r="B7" s="16">
        <f>IF(A7&lt;=Numbers!$B$5,Numbers!$E$4*(12*'30 Year IRR'!A7-1/(1+Numbers!$B$4/12)^(Numbers!$B$5*12-12*'30 Year IRR'!A7)*(1-1/(1+Numbers!$B$4/12)^(12*'30 Year IRR'!A7))/(Numbers!$B$4/12))-Numbers!$E$4*(12*'30 Year IRR'!A6-1/(1+Numbers!$B$4/12)^(Numbers!$B$5*12-12*'30 Year IRR'!A6)*(1-1/(1+Numbers!$B$4/12)^(12*'30 Year IRR'!A6))/(Numbers!$B$4/12)),0)</f>
        <v>2632.6716545063646</v>
      </c>
      <c r="C7" s="16">
        <f>IF(A7&lt;=Numbers!$B$5,Numbers!$E$4*(1/(1+Numbers!$B$4/12))^(12*Numbers!$B$5-12*'30 Year IRR'!A7)*(1-1/(1+Numbers!$B$4/12)^(12*'30 Year IRR'!A7))/(Numbers!$B$4/12)-Numbers!$E$4*(1/(1+Numbers!$B$4/12))^(12*Numbers!$B$5-12*('30 Year IRR'!A7-1))*(1-1/(1+Numbers!$B$4/12)^(12*('30 Year IRR'!A7-1)))/(Numbers!$B$4/12),0)</f>
        <v>1424.6217123375714</v>
      </c>
      <c r="D7" s="16">
        <f>IF(SUM($C$3:C6)/Numbers!$E$3&lt;Numbers!$B$10,12*Numbers!$E$7,0)</f>
        <v>320.62499999999994</v>
      </c>
      <c r="E7" s="16">
        <f>12*Numbers!$B$15*(1-Numbers!$B$33)*(1+Numbers!$B$30)^('30 Year IRR'!A7-1)-('30 Year IRR'!B7+'30 Year IRR'!C7+'30 Year IRR'!D7+12*(Numbers!$E$8+Numbers!$E$9)*(1+Numbers!$B$30)^('30 Year IRR'!A7-1)+12*(1-Numbers!$B$33)*Numbers!$B$16*(1+Numbers!$B$30)^('30 Year IRR'!A7-1)+12*Numbers!$B$33*Numbers!$B$19*(1+Numbers!$B$30)^('30 Year IRR'!A7-1))</f>
        <v>5737.5162891560622</v>
      </c>
      <c r="F7" s="16">
        <f>Numbers!$B$35*('30 Year IRR'!E7+'30 Year IRR'!C7-IF(A7&lt;27.5,Numbers!$E$14,0))</f>
        <v>1172.3526821915902</v>
      </c>
      <c r="G7" s="16">
        <f t="shared" si="0"/>
        <v>4565.1636069644719</v>
      </c>
    </row>
    <row r="8" spans="1:9" x14ac:dyDescent="0.25">
      <c r="A8" s="17">
        <v>5</v>
      </c>
      <c r="B8" s="16">
        <f>IF(A8&lt;=Numbers!$B$5,Numbers!$E$4*(12*'30 Year IRR'!A8-1/(1+Numbers!$B$4/12)^(Numbers!$B$5*12-12*'30 Year IRR'!A8)*(1-1/(1+Numbers!$B$4/12)^(12*'30 Year IRR'!A8))/(Numbers!$B$4/12))-Numbers!$E$4*(12*'30 Year IRR'!A7-1/(1+Numbers!$B$4/12)^(Numbers!$B$5*12-12*'30 Year IRR'!A7)*(1-1/(1+Numbers!$B$4/12)^(12*'30 Year IRR'!A7))/(Numbers!$B$4/12)),0)</f>
        <v>2575.3690677346713</v>
      </c>
      <c r="C8" s="16">
        <f>IF(A8&lt;=Numbers!$B$5,Numbers!$E$4*(1/(1+Numbers!$B$4/12))^(12*Numbers!$B$5-12*'30 Year IRR'!A8)*(1-1/(1+Numbers!$B$4/12)^(12*'30 Year IRR'!A8))/(Numbers!$B$4/12)-Numbers!$E$4*(1/(1+Numbers!$B$4/12))^(12*Numbers!$B$5-12*('30 Year IRR'!A8-1))*(1-1/(1+Numbers!$B$4/12)^(12*('30 Year IRR'!A8-1)))/(Numbers!$B$4/12),0)</f>
        <v>1481.9242991092606</v>
      </c>
      <c r="D8" s="16">
        <f>IF(SUM($C$3:C7)/Numbers!$E$3&lt;Numbers!$B$10,12*Numbers!$E$7,0)</f>
        <v>320.62499999999994</v>
      </c>
      <c r="E8" s="16">
        <f>12*Numbers!$B$15*(1-Numbers!$B$33)*(1+Numbers!$B$30)^('30 Year IRR'!A8-1)-('30 Year IRR'!B8+'30 Year IRR'!C8+'30 Year IRR'!D8+12*(Numbers!$E$8+Numbers!$E$9)*(1+Numbers!$B$30)^('30 Year IRR'!A8-1)+12*(1-Numbers!$B$33)*Numbers!$B$16*(1+Numbers!$B$30)^('30 Year IRR'!A8-1)+12*Numbers!$B$33*Numbers!$B$19*(1+Numbers!$B$30)^('30 Year IRR'!A8-1))</f>
        <v>5939.8249822760681</v>
      </c>
      <c r="F8" s="16">
        <f>Numbers!$B$35*('30 Year IRR'!E8+'30 Year IRR'!C8-IF(A8&lt;27.5,Numbers!$E$14,0))</f>
        <v>1237.2555021645139</v>
      </c>
      <c r="G8" s="16">
        <f>E8-F8+D16</f>
        <v>21220.787353560343</v>
      </c>
    </row>
    <row r="9" spans="1:9" x14ac:dyDescent="0.25">
      <c r="A9" s="17"/>
      <c r="B9" s="16"/>
      <c r="C9" s="16"/>
      <c r="D9" s="16"/>
      <c r="E9" s="16"/>
      <c r="F9" s="16"/>
      <c r="G9" s="16"/>
    </row>
    <row r="10" spans="1:9" x14ac:dyDescent="0.25">
      <c r="A10" s="17"/>
      <c r="B10" s="16"/>
      <c r="C10" s="18" t="s">
        <v>53</v>
      </c>
      <c r="D10" s="16">
        <f>(1+Numbers!$B$31)^5*(Numbers!B3+Numbers!B8)</f>
        <v>92741.925943999988</v>
      </c>
      <c r="F10" s="1" t="s">
        <v>63</v>
      </c>
      <c r="G10" s="16">
        <f>SUM(G4:G8)-D16</f>
        <v>20362.816285308858</v>
      </c>
    </row>
    <row r="11" spans="1:9" x14ac:dyDescent="0.25">
      <c r="A11" s="17"/>
      <c r="B11" s="16"/>
      <c r="C11" s="1" t="s">
        <v>61</v>
      </c>
      <c r="D11" s="16">
        <f>(1-Numbers!B23)*'5 Year IRR'!D10-Numbers!B24</f>
        <v>84177.410387359982</v>
      </c>
    </row>
    <row r="12" spans="1:9" x14ac:dyDescent="0.25">
      <c r="A12" s="17"/>
      <c r="B12" s="16"/>
      <c r="C12" s="1" t="s">
        <v>56</v>
      </c>
      <c r="D12" s="16">
        <f>Numbers!E13-5*Numbers!E14</f>
        <v>70636.363636363632</v>
      </c>
    </row>
    <row r="13" spans="1:9" x14ac:dyDescent="0.25">
      <c r="A13" s="17"/>
      <c r="B13" s="16"/>
      <c r="C13" s="18" t="s">
        <v>57</v>
      </c>
      <c r="D13" s="16">
        <f>(D11-Numbers!E13)*Numbers!B25</f>
        <v>176.61155810399723</v>
      </c>
    </row>
    <row r="14" spans="1:9" x14ac:dyDescent="0.25">
      <c r="A14" s="17"/>
      <c r="B14" s="16"/>
      <c r="C14" s="18" t="s">
        <v>60</v>
      </c>
      <c r="D14" s="16">
        <f>Numbers!B26*(Numbers!E13-'5 Year IRR'!D12)</f>
        <v>3090.9090909090919</v>
      </c>
    </row>
    <row r="15" spans="1:9" x14ac:dyDescent="0.25">
      <c r="A15" s="17"/>
      <c r="B15" s="16"/>
      <c r="C15" s="18" t="s">
        <v>58</v>
      </c>
      <c r="D15" s="16">
        <f>Numbers!E3-SUM(C4:C8)</f>
        <v>64391.671864898111</v>
      </c>
    </row>
    <row r="16" spans="1:9" x14ac:dyDescent="0.25">
      <c r="A16" s="17"/>
      <c r="B16" s="16"/>
      <c r="C16" s="18" t="s">
        <v>59</v>
      </c>
      <c r="D16" s="16">
        <f>D11-D13-D14-D15</f>
        <v>16518.21787344879</v>
      </c>
    </row>
    <row r="17" spans="1:7" x14ac:dyDescent="0.25">
      <c r="A17" s="17"/>
      <c r="B17" s="16"/>
    </row>
    <row r="18" spans="1:7" x14ac:dyDescent="0.25">
      <c r="A18" s="17"/>
      <c r="B18" s="16"/>
      <c r="C18" s="18" t="s">
        <v>62</v>
      </c>
      <c r="D18" s="19">
        <f>IRR(G3:G8)</f>
        <v>0.3590077966415719</v>
      </c>
    </row>
    <row r="19" spans="1:7" x14ac:dyDescent="0.25">
      <c r="A19" s="17"/>
      <c r="B19" s="16"/>
      <c r="C19" s="16"/>
      <c r="D19" s="16"/>
      <c r="E19" s="16"/>
      <c r="F19" s="16"/>
      <c r="G19" s="16"/>
    </row>
    <row r="20" spans="1:7" x14ac:dyDescent="0.25">
      <c r="A20" s="17"/>
      <c r="B20" s="16"/>
      <c r="C20" s="16"/>
      <c r="D20" s="16"/>
      <c r="E20" s="16"/>
      <c r="F20" s="16"/>
      <c r="G20" s="16"/>
    </row>
    <row r="21" spans="1:7" x14ac:dyDescent="0.25">
      <c r="A21" s="17"/>
      <c r="B21" s="16"/>
      <c r="C21" s="16"/>
      <c r="D21" s="16"/>
      <c r="E21" s="16"/>
      <c r="F21" s="16"/>
      <c r="G21" s="16"/>
    </row>
    <row r="22" spans="1:7" x14ac:dyDescent="0.25">
      <c r="A22" s="17"/>
      <c r="B22" s="16"/>
      <c r="C22" s="16"/>
      <c r="D22" s="16"/>
      <c r="E22" s="16"/>
      <c r="F22" s="16"/>
      <c r="G22" s="16"/>
    </row>
    <row r="23" spans="1:7" x14ac:dyDescent="0.25">
      <c r="A23" s="17"/>
      <c r="B23" s="16"/>
      <c r="C23" s="16"/>
      <c r="D23" s="16"/>
      <c r="E23" s="16"/>
      <c r="F23" s="16"/>
      <c r="G23" s="16"/>
    </row>
    <row r="24" spans="1:7" x14ac:dyDescent="0.25">
      <c r="A24" s="17"/>
      <c r="B24" s="16"/>
      <c r="C24" s="16"/>
      <c r="D24" s="16"/>
      <c r="E24" s="16"/>
      <c r="F24" s="16"/>
      <c r="G24" s="16"/>
    </row>
    <row r="25" spans="1:7" x14ac:dyDescent="0.25">
      <c r="A25" s="17"/>
      <c r="B25" s="16"/>
      <c r="C25" s="16"/>
      <c r="D25" s="16"/>
      <c r="E25" s="16"/>
      <c r="F25" s="16"/>
      <c r="G25" s="16"/>
    </row>
    <row r="26" spans="1:7" x14ac:dyDescent="0.25">
      <c r="A26" s="17"/>
      <c r="B26" s="16"/>
      <c r="C26" s="16"/>
      <c r="D26" s="16"/>
      <c r="E26" s="16"/>
      <c r="F26" s="16"/>
      <c r="G26" s="16"/>
    </row>
    <row r="27" spans="1:7" x14ac:dyDescent="0.25">
      <c r="A27" s="17"/>
      <c r="B27" s="16"/>
      <c r="C27" s="16"/>
      <c r="D27" s="16"/>
      <c r="E27" s="16"/>
      <c r="F27" s="16"/>
      <c r="G27" s="16"/>
    </row>
    <row r="28" spans="1:7" x14ac:dyDescent="0.25">
      <c r="A28" s="17"/>
      <c r="B28" s="16"/>
      <c r="C28" s="16"/>
      <c r="D28" s="16"/>
      <c r="E28" s="16"/>
      <c r="F28" s="16"/>
      <c r="G28" s="16"/>
    </row>
    <row r="29" spans="1:7" x14ac:dyDescent="0.25">
      <c r="A29" s="17"/>
      <c r="B29" s="16"/>
      <c r="C29" s="16"/>
      <c r="D29" s="16"/>
      <c r="E29" s="16"/>
      <c r="F29" s="16"/>
      <c r="G29" s="16"/>
    </row>
    <row r="30" spans="1:7" x14ac:dyDescent="0.25">
      <c r="A30" s="17"/>
      <c r="B30" s="16"/>
      <c r="C30" s="16"/>
      <c r="D30" s="16"/>
      <c r="E30" s="16"/>
      <c r="F30" s="16"/>
      <c r="G30" s="16"/>
    </row>
    <row r="31" spans="1:7" x14ac:dyDescent="0.25">
      <c r="A31" s="17"/>
      <c r="B31" s="16"/>
      <c r="C31" s="16"/>
      <c r="D31" s="16"/>
      <c r="E31" s="16"/>
      <c r="F31" s="16"/>
      <c r="G31" s="16"/>
    </row>
    <row r="32" spans="1:7" x14ac:dyDescent="0.25">
      <c r="A32" s="17"/>
      <c r="B32" s="16"/>
      <c r="C32" s="16"/>
      <c r="D32" s="16"/>
      <c r="E32" s="16"/>
      <c r="F32" s="16"/>
      <c r="G32" s="16"/>
    </row>
    <row r="33" spans="1:7" x14ac:dyDescent="0.25">
      <c r="A33" s="17"/>
      <c r="B33" s="16"/>
      <c r="C33" s="16"/>
      <c r="D33" s="16"/>
      <c r="E33" s="16"/>
      <c r="F33" s="16"/>
      <c r="G33" s="16"/>
    </row>
    <row r="34" spans="1:7" x14ac:dyDescent="0.25">
      <c r="A34" s="16"/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</row>
  </sheetData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>
      <selection activeCell="D12" sqref="D12"/>
    </sheetView>
  </sheetViews>
  <sheetFormatPr defaultRowHeight="15" x14ac:dyDescent="0.25"/>
  <cols>
    <col min="1" max="1" width="9.28515625" customWidth="1"/>
    <col min="2" max="4" width="16.7109375" customWidth="1"/>
    <col min="5" max="5" width="18.28515625" customWidth="1"/>
    <col min="6" max="7" width="16.7109375" customWidth="1"/>
    <col min="8" max="8" width="27.7109375" customWidth="1"/>
    <col min="9" max="9" width="27.42578125" customWidth="1"/>
  </cols>
  <sheetData>
    <row r="1" spans="1:9" x14ac:dyDescent="0.25">
      <c r="A1" s="1" t="s">
        <v>48</v>
      </c>
      <c r="B1" s="1" t="s">
        <v>54</v>
      </c>
      <c r="C1" s="1" t="s">
        <v>52</v>
      </c>
      <c r="D1" s="1" t="s">
        <v>55</v>
      </c>
      <c r="E1" s="1" t="s">
        <v>50</v>
      </c>
      <c r="F1" s="1" t="s">
        <v>51</v>
      </c>
      <c r="G1" s="1" t="s">
        <v>49</v>
      </c>
    </row>
    <row r="3" spans="1:9" x14ac:dyDescent="0.25">
      <c r="A3" s="17">
        <v>0</v>
      </c>
      <c r="B3" s="16"/>
      <c r="C3" s="16"/>
      <c r="D3" s="16"/>
      <c r="E3" s="16"/>
      <c r="F3" s="16"/>
      <c r="G3" s="16">
        <f>-Numbers!E23</f>
        <v>-11750.000000000004</v>
      </c>
      <c r="I3" s="16"/>
    </row>
    <row r="4" spans="1:9" x14ac:dyDescent="0.25">
      <c r="A4" s="17">
        <v>1</v>
      </c>
      <c r="B4" s="16">
        <f>IF(A4&lt;=Numbers!$B$5,Numbers!$E$4*(12*'30 Year IRR'!A4-1/(1+Numbers!$B$4/12)^(Numbers!$B$5*12-12*'30 Year IRR'!A4)*(1-1/(1+Numbers!$B$4/12)^(12*'30 Year IRR'!A4))/(Numbers!$B$4/12))-Numbers!$E$4*(12*'30 Year IRR'!A3-1/(1+Numbers!$B$4/12)^(Numbers!$B$5*12-12*'30 Year IRR'!A3)*(1-1/(1+Numbers!$B$4/12)^(12*'30 Year IRR'!A3))/(Numbers!$B$4/12)),0)</f>
        <v>2791.62426352701</v>
      </c>
      <c r="C4" s="16">
        <f>IF(A4&lt;=Numbers!$B$5,Numbers!$E$4*(1/(1+Numbers!$B$4/12))^(12*Numbers!$B$5-12*'30 Year IRR'!A4)*(1-1/(1+Numbers!$B$4/12)^(12*'30 Year IRR'!A4))/(Numbers!$B$4/12)-Numbers!$E$4*(1/(1+Numbers!$B$4/12))^(12*Numbers!$B$5-12*('30 Year IRR'!A4-1))*(1-1/(1+Numbers!$B$4/12)^(12*('30 Year IRR'!A4-1)))/(Numbers!$B$4/12),0)</f>
        <v>1265.6691033169284</v>
      </c>
      <c r="D4" s="16">
        <f>IF(SUM($C$3:C3)/Numbers!$E$3&lt;Numbers!$B$10,12*Numbers!$E$7,0)</f>
        <v>320.62499999999994</v>
      </c>
      <c r="E4" s="16">
        <f>12*Numbers!$B$15*(1-Numbers!$B$33)*(1+Numbers!$B$30)^('30 Year IRR'!A4-1)-('30 Year IRR'!B4+'30 Year IRR'!C4+'30 Year IRR'!D4+12*(Numbers!$E$8+Numbers!$E$9)*(1+Numbers!$B$30)^('30 Year IRR'!A4-1)+12*(1-Numbers!$B$33)*Numbers!$B$16*(1+Numbers!$B$30)^('30 Year IRR'!A4-1)+12*Numbers!$B$33*Numbers!$B$19*(1+Numbers!$B$30)^('30 Year IRR'!A4-1))-Numbers!B11*Numbers!B15</f>
        <v>2754.0816331560618</v>
      </c>
      <c r="F4" s="16">
        <f>Numbers!$B$35*('30 Year IRR'!E4+'30 Year IRR'!C4-IF(A4&lt;27.5,Numbers!$E$14,0))</f>
        <v>386.75586593642936</v>
      </c>
      <c r="G4" s="16">
        <f>E4-F4</f>
        <v>2367.3257672196323</v>
      </c>
      <c r="H4" s="16"/>
    </row>
    <row r="5" spans="1:9" x14ac:dyDescent="0.25">
      <c r="A5" s="17">
        <v>2</v>
      </c>
      <c r="B5" s="16">
        <f>IF(A5&lt;=Numbers!$B$5,Numbers!$E$4*(12*'30 Year IRR'!A5-1/(1+Numbers!$B$4/12)^(Numbers!$B$5*12-12*'30 Year IRR'!A5)*(1-1/(1+Numbers!$B$4/12)^(12*'30 Year IRR'!A5))/(Numbers!$B$4/12))-Numbers!$E$4*(12*'30 Year IRR'!A4-1/(1+Numbers!$B$4/12)^(Numbers!$B$5*12-12*'30 Year IRR'!A4)*(1-1/(1+Numbers!$B$4/12)^(12*'30 Year IRR'!A4))/(Numbers!$B$4/12)),0)</f>
        <v>2740.7152306315047</v>
      </c>
      <c r="C5" s="16">
        <f>IF(A5&lt;=Numbers!$B$5,Numbers!$E$4*(1/(1+Numbers!$B$4/12))^(12*Numbers!$B$5-12*'30 Year IRR'!A5)*(1-1/(1+Numbers!$B$4/12)^(12*'30 Year IRR'!A5))/(Numbers!$B$4/12)-Numbers!$E$4*(1/(1+Numbers!$B$4/12))^(12*Numbers!$B$5-12*('30 Year IRR'!A5-1))*(1-1/(1+Numbers!$B$4/12)^(12*('30 Year IRR'!A5-1)))/(Numbers!$B$4/12),0)</f>
        <v>1316.5781362124328</v>
      </c>
      <c r="D5" s="16">
        <f>IF(SUM($C$3:C4)/Numbers!$E$3&lt;Numbers!$B$10,12*Numbers!$E$7,0)</f>
        <v>320.62499999999994</v>
      </c>
      <c r="E5" s="16">
        <f>12*Numbers!$B$15*(1-Numbers!$B$33)*(1+Numbers!$B$30)^('30 Year IRR'!A5-1)-('30 Year IRR'!B5+'30 Year IRR'!C5+'30 Year IRR'!D5+12*(Numbers!$E$8+Numbers!$E$9)*(1+Numbers!$B$30)^('30 Year IRR'!A5-1)+12*(1-Numbers!$B$33)*Numbers!$B$16*(1+Numbers!$B$30)^('30 Year IRR'!A5-1)+12*Numbers!$B$33*Numbers!$B$19*(1+Numbers!$B$30)^('30 Year IRR'!A5-1))</f>
        <v>5344.721633156063</v>
      </c>
      <c r="F5" s="16">
        <f>Numbers!$B$35*('30 Year IRR'!E5+'30 Year IRR'!C5-IF(A5&lt;27.5,Numbers!$E$14,0))</f>
        <v>1047.1431241603059</v>
      </c>
      <c r="G5" s="16">
        <f t="shared" ref="G5" si="0">E5-F5</f>
        <v>4297.5785089957571</v>
      </c>
      <c r="H5" s="16"/>
    </row>
    <row r="6" spans="1:9" x14ac:dyDescent="0.25">
      <c r="A6" s="17">
        <v>3</v>
      </c>
      <c r="B6" s="16">
        <f>IF(A6&lt;=Numbers!$B$5,Numbers!$E$4*(12*'30 Year IRR'!A6-1/(1+Numbers!$B$4/12)^(Numbers!$B$5*12-12*'30 Year IRR'!A6)*(1-1/(1+Numbers!$B$4/12)^(12*'30 Year IRR'!A6))/(Numbers!$B$4/12))-Numbers!$E$4*(12*'30 Year IRR'!A5-1/(1+Numbers!$B$4/12)^(Numbers!$B$5*12-12*'30 Year IRR'!A5)*(1-1/(1+Numbers!$B$4/12)^(12*'30 Year IRR'!A5))/(Numbers!$B$4/12)),0)</f>
        <v>2687.7584827182409</v>
      </c>
      <c r="C6" s="16">
        <f>IF(A6&lt;=Numbers!$B$5,Numbers!$E$4*(1/(1+Numbers!$B$4/12))^(12*Numbers!$B$5-12*'30 Year IRR'!A6)*(1-1/(1+Numbers!$B$4/12)^(12*'30 Year IRR'!A6))/(Numbers!$B$4/12)-Numbers!$E$4*(1/(1+Numbers!$B$4/12))^(12*Numbers!$B$5-12*('30 Year IRR'!A6-1))*(1-1/(1+Numbers!$B$4/12)^(12*('30 Year IRR'!A6-1)))/(Numbers!$B$4/12),0)</f>
        <v>1369.5348841256937</v>
      </c>
      <c r="D6" s="16">
        <f>IF(SUM($C$3:C5)/Numbers!$E$3&lt;Numbers!$B$10,12*Numbers!$E$7,0)</f>
        <v>320.62499999999994</v>
      </c>
      <c r="E6" s="16">
        <f>12*Numbers!$B$15*(1-Numbers!$B$33)*(1+Numbers!$B$30)^('30 Year IRR'!A6-1)-('30 Year IRR'!B6+'30 Year IRR'!C6+'30 Year IRR'!D6+12*(Numbers!$E$8+Numbers!$E$9)*(1+Numbers!$B$30)^('30 Year IRR'!A6-1)+12*(1-Numbers!$B$33)*Numbers!$B$16*(1+Numbers!$B$30)^('30 Year IRR'!A6-1)+12*Numbers!$B$33*Numbers!$B$19*(1+Numbers!$B$30)^('30 Year IRR'!A6-1))</f>
        <v>5539.1744331560667</v>
      </c>
      <c r="F6" s="16">
        <f>Numbers!$B$35*('30 Year IRR'!E6+'30 Year IRR'!C6-IF(A6&lt;27.5,Numbers!$E$14,0))</f>
        <v>1108.9955111386221</v>
      </c>
      <c r="G6" s="16">
        <f>E6-F6+D14</f>
        <v>14450.485991127038</v>
      </c>
    </row>
    <row r="7" spans="1:9" x14ac:dyDescent="0.25">
      <c r="A7" s="17"/>
      <c r="B7" s="16"/>
      <c r="C7" s="16"/>
      <c r="D7" s="16"/>
      <c r="E7" s="16"/>
      <c r="F7" s="16"/>
      <c r="G7" s="16"/>
    </row>
    <row r="8" spans="1:9" x14ac:dyDescent="0.25">
      <c r="A8" s="17"/>
      <c r="B8" s="16"/>
      <c r="C8" s="18" t="s">
        <v>53</v>
      </c>
      <c r="D8" s="16">
        <f>(1+Numbers!$B$31)^3*(Numbers!B3+Numbers!B8)</f>
        <v>87418.16</v>
      </c>
      <c r="F8" s="1" t="s">
        <v>63</v>
      </c>
      <c r="G8" s="16">
        <f>SUM(G4:G6)-D14</f>
        <v>11095.083198232835</v>
      </c>
    </row>
    <row r="9" spans="1:9" x14ac:dyDescent="0.25">
      <c r="A9" s="17"/>
      <c r="B9" s="16"/>
      <c r="C9" s="1" t="s">
        <v>61</v>
      </c>
      <c r="D9" s="16">
        <f>(1-Numbers!B23)*D8-Numbers!B24</f>
        <v>79173.070399999997</v>
      </c>
    </row>
    <row r="10" spans="1:9" x14ac:dyDescent="0.25">
      <c r="A10" s="17"/>
      <c r="B10" s="16"/>
      <c r="C10" s="1" t="s">
        <v>56</v>
      </c>
      <c r="D10" s="16">
        <f>Numbers!E13-3*Numbers!E14</f>
        <v>75581.818181818177</v>
      </c>
    </row>
    <row r="11" spans="1:9" x14ac:dyDescent="0.25">
      <c r="A11" s="17"/>
      <c r="B11" s="16"/>
      <c r="C11" s="18" t="s">
        <v>57</v>
      </c>
      <c r="D11" s="16">
        <f>MAX((D9-Numbers!E13)*Numbers!B25,0)</f>
        <v>0</v>
      </c>
    </row>
    <row r="12" spans="1:9" x14ac:dyDescent="0.25">
      <c r="A12" s="17"/>
      <c r="B12" s="16"/>
      <c r="C12" s="18" t="s">
        <v>60</v>
      </c>
      <c r="D12" s="16">
        <f>Numbers!B26*(Numbers!E13-D10)</f>
        <v>1854.5454545454559</v>
      </c>
    </row>
    <row r="13" spans="1:9" x14ac:dyDescent="0.25">
      <c r="A13" s="17"/>
      <c r="B13" s="16"/>
      <c r="C13" s="18" t="s">
        <v>58</v>
      </c>
      <c r="D13" s="16">
        <f>Numbers!E3-SUM(C4:C6)</f>
        <v>67298.217876344948</v>
      </c>
    </row>
    <row r="14" spans="1:9" x14ac:dyDescent="0.25">
      <c r="A14" s="17"/>
      <c r="B14" s="16"/>
      <c r="C14" s="18" t="s">
        <v>59</v>
      </c>
      <c r="D14" s="16">
        <f>D9-D11-D12-D13</f>
        <v>10020.307069109593</v>
      </c>
    </row>
    <row r="15" spans="1:9" x14ac:dyDescent="0.25">
      <c r="A15" s="17"/>
      <c r="B15" s="16"/>
    </row>
    <row r="16" spans="1:9" x14ac:dyDescent="0.25">
      <c r="A16" s="17"/>
      <c r="B16" s="16"/>
      <c r="C16" s="18" t="s">
        <v>62</v>
      </c>
      <c r="D16" s="19">
        <f>IRR(G3:G6)</f>
        <v>0.26260609193159623</v>
      </c>
    </row>
    <row r="17" spans="1:7" x14ac:dyDescent="0.25">
      <c r="A17" s="17"/>
      <c r="B17" s="16"/>
      <c r="C17" s="16"/>
      <c r="D17" s="16"/>
      <c r="E17" s="16"/>
      <c r="F17" s="16"/>
      <c r="G17" s="16"/>
    </row>
    <row r="18" spans="1:7" x14ac:dyDescent="0.25">
      <c r="A18" s="17"/>
      <c r="B18" s="16"/>
      <c r="C18" s="16"/>
      <c r="D18" s="16"/>
      <c r="E18" s="16"/>
      <c r="F18" s="16"/>
      <c r="G18" s="16"/>
    </row>
    <row r="19" spans="1:7" x14ac:dyDescent="0.25">
      <c r="A19" s="17"/>
      <c r="B19" s="16"/>
      <c r="C19" s="16"/>
      <c r="D19" s="16"/>
      <c r="E19" s="16"/>
      <c r="F19" s="16"/>
      <c r="G19" s="16"/>
    </row>
    <row r="20" spans="1:7" x14ac:dyDescent="0.25">
      <c r="A20" s="17"/>
      <c r="B20" s="16"/>
      <c r="C20" s="16"/>
      <c r="D20" s="16"/>
      <c r="E20" s="16"/>
      <c r="F20" s="16"/>
      <c r="G20" s="16"/>
    </row>
    <row r="21" spans="1:7" x14ac:dyDescent="0.25">
      <c r="A21" s="17"/>
      <c r="B21" s="16"/>
      <c r="C21" s="16"/>
      <c r="D21" s="16"/>
      <c r="E21" s="16"/>
      <c r="F21" s="16"/>
      <c r="G21" s="16"/>
    </row>
    <row r="22" spans="1:7" x14ac:dyDescent="0.25">
      <c r="A22" s="17"/>
      <c r="B22" s="16"/>
      <c r="C22" s="16"/>
      <c r="D22" s="16"/>
      <c r="E22" s="16"/>
      <c r="F22" s="16"/>
      <c r="G22" s="16"/>
    </row>
    <row r="23" spans="1:7" x14ac:dyDescent="0.25">
      <c r="A23" s="17"/>
      <c r="B23" s="16"/>
      <c r="C23" s="16"/>
      <c r="D23" s="16"/>
      <c r="E23" s="16"/>
      <c r="F23" s="16"/>
      <c r="G23" s="16"/>
    </row>
    <row r="24" spans="1:7" x14ac:dyDescent="0.25">
      <c r="A24" s="17"/>
      <c r="B24" s="16"/>
      <c r="C24" s="16"/>
      <c r="D24" s="16"/>
      <c r="E24" s="16"/>
      <c r="F24" s="16"/>
      <c r="G24" s="16"/>
    </row>
    <row r="25" spans="1:7" x14ac:dyDescent="0.25">
      <c r="A25" s="17"/>
      <c r="B25" s="16"/>
      <c r="C25" s="16"/>
      <c r="D25" s="16"/>
      <c r="E25" s="16"/>
      <c r="F25" s="16"/>
      <c r="G25" s="16"/>
    </row>
    <row r="26" spans="1:7" x14ac:dyDescent="0.25">
      <c r="A26" s="17"/>
      <c r="B26" s="16"/>
      <c r="C26" s="16"/>
      <c r="D26" s="16"/>
      <c r="E26" s="16"/>
      <c r="F26" s="16"/>
      <c r="G26" s="16"/>
    </row>
    <row r="27" spans="1:7" x14ac:dyDescent="0.25">
      <c r="A27" s="17"/>
      <c r="B27" s="16"/>
      <c r="C27" s="16"/>
      <c r="D27" s="16"/>
      <c r="E27" s="16"/>
      <c r="F27" s="16"/>
      <c r="G27" s="16"/>
    </row>
    <row r="28" spans="1:7" x14ac:dyDescent="0.25">
      <c r="A28" s="17"/>
      <c r="B28" s="16"/>
      <c r="C28" s="16"/>
      <c r="D28" s="16"/>
      <c r="E28" s="16"/>
      <c r="F28" s="16"/>
      <c r="G28" s="16"/>
    </row>
    <row r="29" spans="1:7" x14ac:dyDescent="0.25">
      <c r="A29" s="17"/>
      <c r="B29" s="16"/>
      <c r="C29" s="16"/>
      <c r="D29" s="16"/>
      <c r="E29" s="16"/>
      <c r="F29" s="16"/>
      <c r="G29" s="16"/>
    </row>
    <row r="30" spans="1:7" x14ac:dyDescent="0.25">
      <c r="A30" s="17"/>
      <c r="B30" s="16"/>
      <c r="C30" s="16"/>
      <c r="D30" s="16"/>
      <c r="E30" s="16"/>
      <c r="F30" s="16"/>
      <c r="G30" s="16"/>
    </row>
    <row r="31" spans="1:7" x14ac:dyDescent="0.25">
      <c r="A31" s="17"/>
      <c r="B31" s="16"/>
      <c r="C31" s="16"/>
      <c r="D31" s="16"/>
      <c r="E31" s="16"/>
      <c r="F31" s="16"/>
      <c r="G31" s="16"/>
    </row>
    <row r="32" spans="1:7" x14ac:dyDescent="0.25">
      <c r="A32" s="17"/>
      <c r="B32" s="16"/>
      <c r="C32" s="16"/>
      <c r="D32" s="16"/>
      <c r="E32" s="16"/>
      <c r="F32" s="16"/>
      <c r="G32" s="16"/>
    </row>
    <row r="33" spans="1:7" x14ac:dyDescent="0.25">
      <c r="A33" s="17"/>
      <c r="B33" s="16"/>
      <c r="C33" s="16"/>
      <c r="D33" s="16"/>
      <c r="E33" s="16"/>
      <c r="F33" s="16"/>
      <c r="G33" s="16"/>
    </row>
    <row r="34" spans="1:7" x14ac:dyDescent="0.25">
      <c r="A34" s="16"/>
      <c r="B34" s="16"/>
      <c r="C34" s="16"/>
      <c r="D34" s="16"/>
      <c r="E34" s="16"/>
      <c r="F34" s="16"/>
      <c r="G34" s="16"/>
    </row>
    <row r="35" spans="1:7" x14ac:dyDescent="0.25">
      <c r="A35" s="16"/>
      <c r="B35" s="16"/>
      <c r="C35" s="16"/>
      <c r="D35" s="16"/>
      <c r="E35" s="16"/>
      <c r="F35" s="16"/>
      <c r="G35" s="16"/>
    </row>
    <row r="36" spans="1:7" x14ac:dyDescent="0.25">
      <c r="A36" s="16"/>
      <c r="B36" s="16"/>
    </row>
  </sheetData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0"/>
  <sheetViews>
    <sheetView workbookViewId="0">
      <selection activeCell="B5" sqref="B5"/>
    </sheetView>
  </sheetViews>
  <sheetFormatPr defaultRowHeight="15" x14ac:dyDescent="0.25"/>
  <cols>
    <col min="1" max="1" width="26" customWidth="1"/>
    <col min="2" max="2" width="28.85546875" customWidth="1"/>
  </cols>
  <sheetData>
    <row r="3" spans="1:2" x14ac:dyDescent="0.25">
      <c r="A3" s="1" t="s">
        <v>64</v>
      </c>
      <c r="B3" s="1" t="s">
        <v>65</v>
      </c>
    </row>
    <row r="5" spans="1:2" x14ac:dyDescent="0.25">
      <c r="A5">
        <v>3</v>
      </c>
      <c r="B5" s="19">
        <f>'3 Year IRR'!D16</f>
        <v>0.26260609193159623</v>
      </c>
    </row>
    <row r="6" spans="1:2" x14ac:dyDescent="0.25">
      <c r="A6">
        <v>5</v>
      </c>
      <c r="B6" s="19">
        <f>'5 Year IRR'!D18</f>
        <v>0.3590077966415719</v>
      </c>
    </row>
    <row r="7" spans="1:2" x14ac:dyDescent="0.25">
      <c r="A7">
        <v>10</v>
      </c>
      <c r="B7" s="19">
        <f>'10 Year IRR'!D23</f>
        <v>0.36850062531938432</v>
      </c>
    </row>
    <row r="8" spans="1:2" x14ac:dyDescent="0.25">
      <c r="A8">
        <v>15</v>
      </c>
      <c r="B8" s="19">
        <f>'15 Year IRR'!D28</f>
        <v>0.35838986164574549</v>
      </c>
    </row>
    <row r="9" spans="1:2" x14ac:dyDescent="0.25">
      <c r="A9">
        <v>20</v>
      </c>
      <c r="B9" s="19">
        <f>'20 Year IRR'!D33</f>
        <v>0.3528405702346098</v>
      </c>
    </row>
    <row r="10" spans="1:2" x14ac:dyDescent="0.25">
      <c r="A10">
        <v>30</v>
      </c>
      <c r="B10" s="19">
        <f>'30 Year IRR'!D44</f>
        <v>0.34981010475576801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Numbers</vt:lpstr>
      <vt:lpstr>30 Year IRR</vt:lpstr>
      <vt:lpstr>20 Year IRR</vt:lpstr>
      <vt:lpstr>15 Year IRR</vt:lpstr>
      <vt:lpstr>10 Year IRR</vt:lpstr>
      <vt:lpstr>5 Year IRR</vt:lpstr>
      <vt:lpstr>3 Year IRR</vt:lpstr>
      <vt:lpstr>IRR Printout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cp:lastPrinted>2018-01-22T03:29:17Z</cp:lastPrinted>
  <dcterms:created xsi:type="dcterms:W3CDTF">2018-01-21T21:33:03Z</dcterms:created>
  <dcterms:modified xsi:type="dcterms:W3CDTF">2018-06-07T08:58:00Z</dcterms:modified>
</cp:coreProperties>
</file>